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MKG MAGANG\project bersama\data\"/>
    </mc:Choice>
  </mc:AlternateContent>
  <xr:revisionPtr revIDLastSave="0" documentId="8_{29EA9703-FC1C-4FB4-B1EB-F83984BCDC44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64" r:id="rId1"/>
  </sheets>
  <definedNames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3" i="64" l="1"/>
  <c r="C63" i="64"/>
  <c r="D63" i="64"/>
  <c r="B64" i="64"/>
  <c r="C64" i="64"/>
  <c r="D64" i="64"/>
  <c r="B65" i="64"/>
  <c r="C65" i="64"/>
  <c r="D65" i="64"/>
  <c r="B66" i="64"/>
  <c r="C66" i="64"/>
  <c r="D66" i="64"/>
  <c r="B67" i="64"/>
  <c r="C67" i="64"/>
  <c r="D67" i="64"/>
  <c r="B68" i="64"/>
  <c r="C68" i="64"/>
  <c r="D68" i="64"/>
  <c r="B69" i="64"/>
  <c r="C69" i="64"/>
  <c r="D69" i="64"/>
  <c r="B70" i="64"/>
  <c r="C70" i="64"/>
  <c r="D70" i="64"/>
  <c r="B71" i="64"/>
  <c r="C71" i="64"/>
  <c r="D71" i="64"/>
  <c r="B72" i="64"/>
  <c r="C72" i="64"/>
  <c r="D72" i="64"/>
  <c r="B73" i="64"/>
  <c r="C73" i="64"/>
  <c r="D73" i="64"/>
  <c r="B74" i="64"/>
  <c r="C74" i="64"/>
  <c r="D74" i="64"/>
  <c r="B75" i="64"/>
  <c r="C75" i="64"/>
  <c r="D75" i="64"/>
  <c r="B76" i="64"/>
  <c r="C76" i="64"/>
  <c r="D76" i="64"/>
  <c r="B77" i="64"/>
  <c r="C77" i="64"/>
  <c r="D77" i="64"/>
  <c r="B78" i="64"/>
  <c r="C78" i="64"/>
  <c r="D78" i="64"/>
  <c r="B79" i="64"/>
  <c r="C79" i="64"/>
  <c r="D79" i="64"/>
  <c r="B80" i="64"/>
  <c r="C80" i="64"/>
  <c r="D80" i="64"/>
  <c r="B81" i="64"/>
  <c r="C81" i="64"/>
  <c r="D81" i="64"/>
  <c r="B82" i="64"/>
  <c r="C82" i="64"/>
  <c r="D82" i="64"/>
  <c r="B83" i="64"/>
  <c r="C83" i="64"/>
  <c r="D83" i="64"/>
  <c r="B84" i="64"/>
  <c r="C84" i="64"/>
  <c r="D84" i="64"/>
  <c r="B85" i="64"/>
  <c r="C85" i="64"/>
  <c r="D85" i="64"/>
  <c r="B86" i="64"/>
  <c r="C86" i="64"/>
  <c r="D86" i="64"/>
  <c r="B87" i="64"/>
  <c r="C87" i="64"/>
  <c r="D87" i="64"/>
  <c r="B88" i="64"/>
  <c r="C88" i="64"/>
  <c r="D88" i="64"/>
  <c r="B89" i="64"/>
  <c r="C89" i="64"/>
  <c r="D89" i="64"/>
  <c r="B90" i="64"/>
  <c r="C90" i="64"/>
  <c r="D90" i="64"/>
  <c r="B91" i="64"/>
  <c r="C91" i="64"/>
  <c r="D91" i="64"/>
  <c r="B92" i="64"/>
  <c r="C92" i="64"/>
  <c r="D92" i="64"/>
  <c r="B93" i="64"/>
  <c r="C93" i="64"/>
  <c r="D93" i="64"/>
  <c r="B673" i="64"/>
  <c r="C673" i="64"/>
  <c r="D673" i="64"/>
  <c r="B674" i="64"/>
  <c r="C674" i="64"/>
  <c r="D674" i="64"/>
  <c r="B675" i="64"/>
  <c r="C675" i="64"/>
  <c r="D675" i="64"/>
  <c r="B676" i="64"/>
  <c r="C676" i="64"/>
  <c r="D676" i="64"/>
  <c r="B677" i="64"/>
  <c r="C677" i="64"/>
  <c r="D677" i="64"/>
  <c r="B678" i="64"/>
  <c r="C678" i="64"/>
  <c r="D678" i="64"/>
  <c r="B679" i="64"/>
  <c r="C679" i="64"/>
  <c r="D679" i="64"/>
  <c r="B680" i="64"/>
  <c r="C680" i="64"/>
  <c r="D680" i="64"/>
  <c r="B681" i="64"/>
  <c r="C681" i="64"/>
  <c r="D681" i="64"/>
  <c r="B682" i="64"/>
  <c r="C682" i="64"/>
  <c r="D682" i="64"/>
  <c r="B683" i="64"/>
  <c r="C683" i="64"/>
  <c r="D683" i="64"/>
  <c r="B684" i="64"/>
  <c r="C684" i="64"/>
  <c r="D684" i="64"/>
  <c r="B685" i="64"/>
  <c r="C685" i="64"/>
  <c r="D685" i="64"/>
  <c r="B686" i="64"/>
  <c r="C686" i="64"/>
  <c r="D686" i="64"/>
  <c r="B687" i="64"/>
  <c r="C687" i="64"/>
  <c r="D687" i="64"/>
  <c r="B688" i="64"/>
  <c r="C688" i="64"/>
  <c r="D688" i="64"/>
  <c r="B689" i="64"/>
  <c r="C689" i="64"/>
  <c r="D689" i="64"/>
  <c r="B690" i="64"/>
  <c r="C690" i="64"/>
  <c r="D690" i="64"/>
  <c r="B691" i="64"/>
  <c r="C691" i="64"/>
  <c r="D691" i="64"/>
  <c r="B692" i="64"/>
  <c r="C692" i="64"/>
  <c r="D692" i="64"/>
  <c r="B693" i="64"/>
  <c r="C693" i="64"/>
  <c r="D693" i="64"/>
  <c r="B694" i="64"/>
  <c r="C694" i="64"/>
  <c r="D694" i="64"/>
  <c r="B695" i="64"/>
  <c r="C695" i="64"/>
  <c r="D695" i="64"/>
  <c r="B696" i="64"/>
  <c r="C696" i="64"/>
  <c r="D696" i="64"/>
  <c r="B697" i="64"/>
  <c r="C697" i="64"/>
  <c r="D697" i="64"/>
  <c r="B698" i="64"/>
  <c r="C698" i="64"/>
  <c r="D698" i="64"/>
  <c r="B699" i="64"/>
  <c r="C699" i="64"/>
  <c r="D699" i="64"/>
  <c r="B700" i="64"/>
  <c r="C700" i="64"/>
  <c r="D700" i="64"/>
  <c r="B701" i="64"/>
  <c r="C701" i="64"/>
  <c r="D701" i="64"/>
  <c r="B702" i="64"/>
  <c r="C702" i="64"/>
  <c r="D702" i="64"/>
  <c r="B703" i="64"/>
  <c r="C703" i="64"/>
  <c r="D703" i="64"/>
  <c r="B704" i="64"/>
  <c r="C704" i="64"/>
  <c r="D704" i="64"/>
  <c r="B705" i="64"/>
  <c r="C705" i="64"/>
  <c r="D705" i="64"/>
  <c r="B706" i="64"/>
  <c r="C706" i="64"/>
  <c r="D706" i="64"/>
  <c r="B707" i="64"/>
  <c r="C707" i="64"/>
  <c r="D707" i="64"/>
  <c r="B708" i="64"/>
  <c r="C708" i="64"/>
  <c r="D708" i="64"/>
  <c r="B709" i="64"/>
  <c r="C709" i="64"/>
  <c r="D709" i="64"/>
  <c r="B710" i="64"/>
  <c r="C710" i="64"/>
  <c r="D710" i="64"/>
  <c r="B711" i="64"/>
  <c r="C711" i="64"/>
  <c r="D711" i="64"/>
  <c r="B712" i="64"/>
  <c r="C712" i="64"/>
  <c r="D712" i="64"/>
  <c r="B713" i="64"/>
  <c r="C713" i="64"/>
  <c r="D713" i="64"/>
  <c r="B714" i="64"/>
  <c r="C714" i="64"/>
  <c r="D714" i="64"/>
  <c r="B715" i="64"/>
  <c r="C715" i="64"/>
  <c r="D715" i="64"/>
  <c r="B716" i="64"/>
  <c r="C716" i="64"/>
  <c r="D716" i="64"/>
  <c r="B717" i="64"/>
  <c r="C717" i="64"/>
  <c r="D717" i="64"/>
  <c r="B718" i="64"/>
  <c r="C718" i="64"/>
  <c r="D718" i="64"/>
  <c r="B719" i="64"/>
  <c r="C719" i="64"/>
  <c r="D719" i="64"/>
  <c r="B720" i="64"/>
  <c r="C720" i="64"/>
  <c r="D720" i="64"/>
  <c r="B721" i="64"/>
  <c r="C721" i="64"/>
  <c r="D721" i="64"/>
  <c r="B722" i="64"/>
  <c r="C722" i="64"/>
  <c r="D722" i="64"/>
  <c r="B723" i="64"/>
  <c r="C723" i="64"/>
  <c r="D723" i="64"/>
  <c r="B724" i="64"/>
  <c r="C724" i="64"/>
  <c r="D724" i="64"/>
  <c r="B725" i="64"/>
  <c r="C725" i="64"/>
  <c r="D725" i="64"/>
  <c r="B726" i="64"/>
  <c r="C726" i="64"/>
  <c r="D726" i="64"/>
  <c r="B727" i="64"/>
  <c r="C727" i="64"/>
  <c r="D727" i="64"/>
  <c r="B728" i="64"/>
  <c r="C728" i="64"/>
  <c r="D728" i="64"/>
  <c r="B729" i="64"/>
  <c r="C729" i="64"/>
  <c r="D729" i="64"/>
  <c r="B730" i="64"/>
  <c r="C730" i="64"/>
  <c r="D730" i="64"/>
  <c r="B731" i="64"/>
  <c r="C731" i="64"/>
  <c r="D731" i="64"/>
  <c r="B732" i="64"/>
  <c r="C732" i="64"/>
  <c r="D732" i="64"/>
  <c r="B733" i="64"/>
  <c r="C733" i="64"/>
  <c r="D733" i="64"/>
  <c r="B734" i="64"/>
  <c r="C734" i="64"/>
  <c r="D734" i="64"/>
  <c r="B735" i="64"/>
  <c r="C735" i="64"/>
  <c r="D735" i="64"/>
  <c r="B736" i="64"/>
  <c r="C736" i="64"/>
  <c r="D736" i="64"/>
  <c r="B737" i="64"/>
  <c r="C737" i="64"/>
  <c r="D737" i="64"/>
  <c r="B738" i="64"/>
  <c r="C738" i="64"/>
  <c r="D738" i="64"/>
  <c r="B739" i="64"/>
  <c r="C739" i="64"/>
  <c r="D739" i="64"/>
  <c r="B740" i="64"/>
  <c r="C740" i="64"/>
  <c r="D740" i="64"/>
  <c r="B741" i="64"/>
  <c r="C741" i="64"/>
  <c r="D741" i="64"/>
  <c r="B742" i="64"/>
  <c r="C742" i="64"/>
  <c r="D742" i="64"/>
  <c r="B743" i="64"/>
  <c r="C743" i="64"/>
  <c r="D743" i="64"/>
  <c r="B744" i="64"/>
  <c r="C744" i="64"/>
  <c r="D744" i="64"/>
  <c r="B745" i="64"/>
  <c r="C745" i="64"/>
  <c r="D745" i="64"/>
  <c r="B746" i="64"/>
  <c r="C746" i="64"/>
  <c r="D746" i="64"/>
  <c r="B747" i="64"/>
  <c r="C747" i="64"/>
  <c r="D747" i="64"/>
  <c r="B748" i="64"/>
  <c r="C748" i="64"/>
  <c r="D748" i="64"/>
  <c r="B749" i="64"/>
  <c r="C749" i="64"/>
  <c r="D749" i="64"/>
  <c r="B750" i="64"/>
  <c r="C750" i="64"/>
  <c r="D750" i="64"/>
  <c r="B751" i="64"/>
  <c r="C751" i="64"/>
  <c r="D751" i="64"/>
  <c r="B752" i="64"/>
  <c r="C752" i="64"/>
  <c r="D752" i="64"/>
  <c r="B753" i="64"/>
  <c r="C753" i="64"/>
  <c r="D753" i="64"/>
  <c r="B754" i="64"/>
  <c r="C754" i="64"/>
  <c r="D754" i="64"/>
  <c r="B755" i="64"/>
  <c r="C755" i="64"/>
  <c r="D755" i="64"/>
  <c r="B756" i="64"/>
  <c r="C756" i="64"/>
  <c r="D756" i="64"/>
  <c r="B757" i="64"/>
  <c r="C757" i="64"/>
  <c r="D757" i="64"/>
  <c r="B758" i="64"/>
  <c r="C758" i="64"/>
  <c r="D758" i="64"/>
  <c r="B759" i="64"/>
  <c r="C759" i="64"/>
  <c r="D759" i="64"/>
  <c r="B760" i="64"/>
  <c r="C760" i="64"/>
  <c r="D760" i="64"/>
  <c r="B761" i="64"/>
  <c r="C761" i="64"/>
  <c r="D761" i="64"/>
  <c r="B762" i="64"/>
  <c r="C762" i="64"/>
  <c r="D762" i="64"/>
  <c r="B763" i="64"/>
  <c r="C763" i="64"/>
  <c r="D763" i="64"/>
  <c r="B764" i="64"/>
  <c r="C764" i="64"/>
  <c r="D764" i="64"/>
  <c r="B765" i="64"/>
  <c r="C765" i="64"/>
  <c r="D765" i="64"/>
  <c r="B766" i="64"/>
  <c r="C766" i="64"/>
  <c r="D766" i="64"/>
  <c r="B767" i="64"/>
  <c r="C767" i="64"/>
  <c r="D767" i="64"/>
  <c r="B768" i="64"/>
  <c r="C768" i="64"/>
  <c r="D768" i="64"/>
  <c r="B769" i="64"/>
  <c r="C769" i="64"/>
  <c r="D769" i="64"/>
  <c r="B770" i="64"/>
  <c r="C770" i="64"/>
  <c r="D770" i="64"/>
  <c r="B771" i="64"/>
  <c r="C771" i="64"/>
  <c r="D771" i="64"/>
  <c r="B772" i="64"/>
  <c r="C772" i="64"/>
  <c r="D772" i="64"/>
  <c r="B773" i="64"/>
  <c r="C773" i="64"/>
  <c r="D773" i="64"/>
  <c r="B774" i="64"/>
  <c r="C774" i="64"/>
  <c r="D774" i="64"/>
  <c r="B775" i="64"/>
  <c r="C775" i="64"/>
  <c r="D775" i="64"/>
  <c r="B776" i="64"/>
  <c r="C776" i="64"/>
  <c r="D776" i="64"/>
  <c r="B777" i="64"/>
  <c r="C777" i="64"/>
  <c r="D777" i="64"/>
  <c r="B778" i="64"/>
  <c r="C778" i="64"/>
  <c r="D778" i="64"/>
  <c r="B779" i="64"/>
  <c r="C779" i="64"/>
  <c r="D779" i="64"/>
  <c r="B780" i="64"/>
  <c r="C780" i="64"/>
  <c r="D780" i="64"/>
  <c r="B781" i="64"/>
  <c r="C781" i="64"/>
  <c r="D781" i="64"/>
  <c r="B782" i="64"/>
  <c r="C782" i="64"/>
  <c r="D782" i="64"/>
  <c r="B783" i="64"/>
  <c r="C783" i="64"/>
  <c r="D783" i="64"/>
  <c r="B784" i="64"/>
  <c r="C784" i="64"/>
  <c r="D784" i="64"/>
  <c r="B785" i="64"/>
  <c r="C785" i="64"/>
  <c r="D785" i="64"/>
  <c r="B786" i="64"/>
  <c r="C786" i="64"/>
  <c r="D786" i="64"/>
  <c r="B787" i="64"/>
  <c r="C787" i="64"/>
  <c r="D787" i="64"/>
  <c r="B788" i="64"/>
  <c r="C788" i="64"/>
  <c r="D788" i="64"/>
  <c r="B789" i="64"/>
  <c r="C789" i="64"/>
  <c r="D789" i="64"/>
  <c r="B790" i="64"/>
  <c r="C790" i="64"/>
  <c r="D790" i="64"/>
  <c r="B791" i="64"/>
  <c r="C791" i="64"/>
  <c r="D791" i="64"/>
  <c r="B792" i="64"/>
  <c r="C792" i="64"/>
  <c r="D792" i="64"/>
  <c r="B793" i="64"/>
  <c r="C793" i="64"/>
  <c r="D793" i="64"/>
  <c r="R609" i="64"/>
  <c r="B2" i="64"/>
  <c r="C2" i="64"/>
  <c r="D2" i="64"/>
  <c r="B3" i="64"/>
  <c r="C3" i="64"/>
  <c r="D3" i="64"/>
  <c r="B4" i="64"/>
  <c r="C4" i="64"/>
  <c r="D4" i="64"/>
  <c r="B5" i="64"/>
  <c r="C5" i="64"/>
  <c r="D5" i="64"/>
  <c r="B6" i="64"/>
  <c r="C6" i="64"/>
  <c r="D6" i="64"/>
  <c r="B7" i="64"/>
  <c r="C7" i="64"/>
  <c r="D7" i="64"/>
  <c r="B8" i="64"/>
  <c r="C8" i="64"/>
  <c r="D8" i="64"/>
  <c r="B9" i="64"/>
  <c r="C9" i="64"/>
  <c r="D9" i="64"/>
  <c r="B10" i="64"/>
  <c r="C10" i="64"/>
  <c r="D10" i="64"/>
  <c r="B11" i="64"/>
  <c r="C11" i="64"/>
  <c r="D11" i="64"/>
  <c r="B12" i="64"/>
  <c r="C12" i="64"/>
  <c r="D12" i="64"/>
  <c r="B13" i="64"/>
  <c r="C13" i="64"/>
  <c r="D13" i="64"/>
  <c r="B14" i="64"/>
  <c r="C14" i="64"/>
  <c r="D14" i="64"/>
  <c r="B15" i="64"/>
  <c r="C15" i="64"/>
  <c r="D15" i="64"/>
  <c r="B16" i="64"/>
  <c r="C16" i="64"/>
  <c r="D16" i="64"/>
  <c r="B17" i="64"/>
  <c r="C17" i="64"/>
  <c r="D17" i="64"/>
  <c r="B18" i="64"/>
  <c r="C18" i="64"/>
  <c r="D18" i="64"/>
  <c r="B19" i="64"/>
  <c r="C19" i="64"/>
  <c r="D19" i="64"/>
  <c r="B20" i="64"/>
  <c r="C20" i="64"/>
  <c r="D20" i="64"/>
  <c r="B21" i="64"/>
  <c r="C21" i="64"/>
  <c r="D21" i="64"/>
  <c r="B22" i="64"/>
  <c r="C22" i="64"/>
  <c r="D22" i="64"/>
  <c r="B23" i="64"/>
  <c r="C23" i="64"/>
  <c r="D23" i="64"/>
  <c r="B24" i="64"/>
  <c r="C24" i="64"/>
  <c r="D24" i="64"/>
  <c r="B25" i="64"/>
  <c r="C25" i="64"/>
  <c r="D25" i="64"/>
  <c r="B26" i="64"/>
  <c r="C26" i="64"/>
  <c r="D26" i="64"/>
  <c r="B27" i="64"/>
  <c r="C27" i="64"/>
  <c r="D27" i="64"/>
  <c r="B28" i="64"/>
  <c r="C28" i="64"/>
  <c r="D28" i="64"/>
  <c r="B29" i="64"/>
  <c r="C29" i="64"/>
  <c r="D29" i="64"/>
  <c r="B30" i="64"/>
  <c r="C30" i="64"/>
  <c r="D30" i="64"/>
  <c r="B31" i="64"/>
  <c r="C31" i="64"/>
  <c r="D31" i="64"/>
  <c r="B32" i="64"/>
  <c r="C32" i="64"/>
  <c r="D32" i="64"/>
  <c r="B33" i="64"/>
  <c r="C33" i="64"/>
  <c r="D33" i="64"/>
  <c r="B34" i="64"/>
  <c r="C34" i="64"/>
  <c r="D34" i="64"/>
  <c r="B35" i="64"/>
  <c r="C35" i="64"/>
  <c r="D35" i="64"/>
  <c r="B36" i="64"/>
  <c r="C36" i="64"/>
  <c r="D36" i="64"/>
  <c r="B37" i="64"/>
  <c r="C37" i="64"/>
  <c r="D37" i="64"/>
  <c r="B38" i="64"/>
  <c r="C38" i="64"/>
  <c r="D38" i="64"/>
  <c r="B39" i="64"/>
  <c r="C39" i="64"/>
  <c r="D39" i="64"/>
  <c r="B40" i="64"/>
  <c r="C40" i="64"/>
  <c r="D40" i="64"/>
  <c r="B41" i="64"/>
  <c r="C41" i="64"/>
  <c r="D41" i="64"/>
  <c r="B42" i="64"/>
  <c r="C42" i="64"/>
  <c r="D42" i="64"/>
  <c r="B43" i="64"/>
  <c r="C43" i="64"/>
  <c r="D43" i="64"/>
  <c r="B44" i="64"/>
  <c r="C44" i="64"/>
  <c r="D44" i="64"/>
  <c r="B45" i="64"/>
  <c r="C45" i="64"/>
  <c r="D45" i="64"/>
  <c r="B46" i="64"/>
  <c r="C46" i="64"/>
  <c r="D46" i="64"/>
  <c r="B47" i="64"/>
  <c r="C47" i="64"/>
  <c r="D47" i="64"/>
  <c r="B48" i="64"/>
  <c r="C48" i="64"/>
  <c r="D48" i="64"/>
  <c r="B49" i="64"/>
  <c r="C49" i="64"/>
  <c r="D49" i="64"/>
  <c r="B50" i="64"/>
  <c r="C50" i="64"/>
  <c r="D50" i="64"/>
  <c r="B51" i="64"/>
  <c r="C51" i="64"/>
  <c r="D51" i="64"/>
  <c r="B52" i="64"/>
  <c r="C52" i="64"/>
  <c r="D52" i="64"/>
  <c r="B53" i="64"/>
  <c r="C53" i="64"/>
  <c r="D53" i="64"/>
  <c r="B54" i="64"/>
  <c r="C54" i="64"/>
  <c r="D54" i="64"/>
  <c r="B55" i="64"/>
  <c r="C55" i="64"/>
  <c r="D55" i="64"/>
  <c r="B56" i="64"/>
  <c r="C56" i="64"/>
  <c r="D56" i="64"/>
  <c r="B57" i="64"/>
  <c r="C57" i="64"/>
  <c r="D57" i="64"/>
  <c r="B58" i="64"/>
  <c r="C58" i="64"/>
  <c r="D58" i="64"/>
  <c r="B59" i="64"/>
  <c r="C59" i="64"/>
  <c r="D59" i="64"/>
  <c r="B60" i="64"/>
  <c r="C60" i="64"/>
  <c r="D60" i="64"/>
  <c r="B61" i="64"/>
  <c r="C61" i="64"/>
  <c r="D61" i="64"/>
  <c r="B62" i="64"/>
  <c r="C62" i="64"/>
  <c r="D62" i="64"/>
  <c r="B94" i="64"/>
  <c r="C94" i="64"/>
  <c r="D94" i="64"/>
  <c r="B95" i="64"/>
  <c r="C95" i="64"/>
  <c r="D95" i="64"/>
  <c r="B96" i="64"/>
  <c r="C96" i="64"/>
  <c r="D96" i="64"/>
  <c r="B97" i="64"/>
  <c r="C97" i="64"/>
  <c r="D97" i="64"/>
  <c r="B98" i="64"/>
  <c r="C98" i="64"/>
  <c r="D98" i="64"/>
  <c r="B99" i="64"/>
  <c r="C99" i="64"/>
  <c r="D99" i="64"/>
  <c r="B100" i="64"/>
  <c r="C100" i="64"/>
  <c r="D100" i="64"/>
  <c r="B101" i="64"/>
  <c r="C101" i="64"/>
  <c r="D101" i="64"/>
  <c r="B102" i="64"/>
  <c r="C102" i="64"/>
  <c r="D102" i="64"/>
  <c r="B103" i="64"/>
  <c r="C103" i="64"/>
  <c r="D103" i="64"/>
  <c r="B104" i="64"/>
  <c r="C104" i="64"/>
  <c r="D104" i="64"/>
  <c r="B105" i="64"/>
  <c r="C105" i="64"/>
  <c r="D105" i="64"/>
  <c r="B106" i="64"/>
  <c r="C106" i="64"/>
  <c r="D106" i="64"/>
  <c r="B107" i="64"/>
  <c r="C107" i="64"/>
  <c r="D107" i="64"/>
  <c r="B108" i="64"/>
  <c r="C108" i="64"/>
  <c r="D108" i="64"/>
  <c r="B109" i="64"/>
  <c r="C109" i="64"/>
  <c r="D109" i="64"/>
  <c r="B110" i="64"/>
  <c r="C110" i="64"/>
  <c r="D110" i="64"/>
  <c r="B111" i="64"/>
  <c r="C111" i="64"/>
  <c r="D111" i="64"/>
  <c r="B112" i="64"/>
  <c r="C112" i="64"/>
  <c r="D112" i="64"/>
  <c r="B113" i="64"/>
  <c r="C113" i="64"/>
  <c r="D113" i="64"/>
  <c r="B114" i="64"/>
  <c r="C114" i="64"/>
  <c r="D114" i="64"/>
  <c r="B115" i="64"/>
  <c r="C115" i="64"/>
  <c r="D115" i="64"/>
  <c r="B116" i="64"/>
  <c r="C116" i="64"/>
  <c r="D116" i="64"/>
  <c r="B117" i="64"/>
  <c r="C117" i="64"/>
  <c r="D117" i="64"/>
  <c r="B118" i="64"/>
  <c r="C118" i="64"/>
  <c r="D118" i="64"/>
  <c r="B119" i="64"/>
  <c r="C119" i="64"/>
  <c r="D119" i="64"/>
  <c r="B120" i="64"/>
  <c r="C120" i="64"/>
  <c r="D120" i="64"/>
  <c r="B121" i="64"/>
  <c r="C121" i="64"/>
  <c r="D121" i="64"/>
  <c r="B122" i="64"/>
  <c r="C122" i="64"/>
  <c r="D122" i="64"/>
  <c r="B123" i="64"/>
  <c r="C123" i="64"/>
  <c r="D123" i="64"/>
  <c r="B124" i="64"/>
  <c r="C124" i="64"/>
  <c r="D124" i="64"/>
  <c r="B125" i="64"/>
  <c r="C125" i="64"/>
  <c r="D125" i="64"/>
  <c r="B126" i="64"/>
  <c r="C126" i="64"/>
  <c r="D126" i="64"/>
  <c r="B127" i="64"/>
  <c r="C127" i="64"/>
  <c r="D127" i="64"/>
  <c r="B128" i="64"/>
  <c r="C128" i="64"/>
  <c r="D128" i="64"/>
  <c r="B129" i="64"/>
  <c r="C129" i="64"/>
  <c r="D129" i="64"/>
  <c r="B130" i="64"/>
  <c r="C130" i="64"/>
  <c r="D130" i="64"/>
  <c r="B131" i="64"/>
  <c r="C131" i="64"/>
  <c r="D131" i="64"/>
  <c r="B132" i="64"/>
  <c r="C132" i="64"/>
  <c r="D132" i="64"/>
  <c r="B133" i="64"/>
  <c r="C133" i="64"/>
  <c r="D133" i="64"/>
  <c r="B134" i="64"/>
  <c r="C134" i="64"/>
  <c r="D134" i="64"/>
  <c r="B135" i="64"/>
  <c r="C135" i="64"/>
  <c r="D135" i="64"/>
  <c r="B136" i="64"/>
  <c r="C136" i="64"/>
  <c r="D136" i="64"/>
  <c r="B137" i="64"/>
  <c r="C137" i="64"/>
  <c r="D137" i="64"/>
  <c r="B138" i="64"/>
  <c r="C138" i="64"/>
  <c r="D138" i="64"/>
  <c r="B139" i="64"/>
  <c r="C139" i="64"/>
  <c r="D139" i="64"/>
  <c r="B140" i="64"/>
  <c r="C140" i="64"/>
  <c r="D140" i="64"/>
  <c r="B141" i="64"/>
  <c r="C141" i="64"/>
  <c r="D141" i="64"/>
  <c r="B142" i="64"/>
  <c r="C142" i="64"/>
  <c r="D142" i="64"/>
  <c r="B143" i="64"/>
  <c r="C143" i="64"/>
  <c r="D143" i="64"/>
  <c r="B144" i="64"/>
  <c r="C144" i="64"/>
  <c r="D144" i="64"/>
  <c r="B145" i="64"/>
  <c r="C145" i="64"/>
  <c r="D145" i="64"/>
  <c r="B146" i="64"/>
  <c r="C146" i="64"/>
  <c r="D146" i="64"/>
  <c r="B147" i="64"/>
  <c r="C147" i="64"/>
  <c r="D147" i="64"/>
  <c r="B148" i="64"/>
  <c r="C148" i="64"/>
  <c r="D148" i="64"/>
  <c r="B149" i="64"/>
  <c r="C149" i="64"/>
  <c r="D149" i="64"/>
  <c r="B150" i="64"/>
  <c r="C150" i="64"/>
  <c r="D150" i="64"/>
  <c r="B151" i="64"/>
  <c r="C151" i="64"/>
  <c r="D151" i="64"/>
  <c r="B152" i="64"/>
  <c r="C152" i="64"/>
  <c r="D152" i="64"/>
  <c r="B153" i="64"/>
  <c r="C153" i="64"/>
  <c r="D153" i="64"/>
  <c r="B154" i="64"/>
  <c r="C154" i="64"/>
  <c r="D154" i="64"/>
  <c r="B155" i="64"/>
  <c r="C155" i="64"/>
  <c r="D155" i="64"/>
  <c r="B156" i="64"/>
  <c r="C156" i="64"/>
  <c r="D156" i="64"/>
  <c r="B157" i="64"/>
  <c r="C157" i="64"/>
  <c r="D157" i="64"/>
  <c r="B158" i="64"/>
  <c r="C158" i="64"/>
  <c r="D158" i="64"/>
  <c r="B159" i="64"/>
  <c r="C159" i="64"/>
  <c r="D159" i="64"/>
  <c r="B160" i="64"/>
  <c r="C160" i="64"/>
  <c r="D160" i="64"/>
  <c r="B161" i="64"/>
  <c r="C161" i="64"/>
  <c r="D161" i="64"/>
  <c r="B162" i="64"/>
  <c r="C162" i="64"/>
  <c r="D162" i="64"/>
  <c r="B163" i="64"/>
  <c r="C163" i="64"/>
  <c r="D163" i="64"/>
  <c r="B164" i="64"/>
  <c r="C164" i="64"/>
  <c r="D164" i="64"/>
  <c r="B165" i="64"/>
  <c r="C165" i="64"/>
  <c r="D165" i="64"/>
  <c r="B166" i="64"/>
  <c r="C166" i="64"/>
  <c r="D166" i="64"/>
  <c r="B167" i="64"/>
  <c r="C167" i="64"/>
  <c r="D167" i="64"/>
  <c r="B168" i="64"/>
  <c r="C168" i="64"/>
  <c r="D168" i="64"/>
  <c r="B169" i="64"/>
  <c r="C169" i="64"/>
  <c r="D169" i="64"/>
  <c r="B170" i="64"/>
  <c r="C170" i="64"/>
  <c r="D170" i="64"/>
  <c r="B171" i="64"/>
  <c r="C171" i="64"/>
  <c r="D171" i="64"/>
  <c r="B172" i="64"/>
  <c r="C172" i="64"/>
  <c r="D172" i="64"/>
  <c r="B173" i="64"/>
  <c r="C173" i="64"/>
  <c r="D173" i="64"/>
  <c r="B174" i="64"/>
  <c r="C174" i="64"/>
  <c r="D174" i="64"/>
  <c r="B175" i="64"/>
  <c r="C175" i="64"/>
  <c r="D175" i="64"/>
  <c r="B176" i="64"/>
  <c r="C176" i="64"/>
  <c r="D176" i="64"/>
  <c r="B177" i="64"/>
  <c r="C177" i="64"/>
  <c r="D177" i="64"/>
  <c r="B178" i="64"/>
  <c r="C178" i="64"/>
  <c r="D178" i="64"/>
  <c r="B179" i="64"/>
  <c r="C179" i="64"/>
  <c r="D179" i="64"/>
  <c r="B180" i="64"/>
  <c r="C180" i="64"/>
  <c r="D180" i="64"/>
  <c r="B181" i="64"/>
  <c r="C181" i="64"/>
  <c r="D181" i="64"/>
  <c r="B182" i="64"/>
  <c r="C182" i="64"/>
  <c r="D182" i="64"/>
  <c r="B183" i="64"/>
  <c r="C183" i="64"/>
  <c r="D183" i="64"/>
  <c r="B184" i="64"/>
  <c r="C184" i="64"/>
  <c r="D184" i="64"/>
  <c r="B185" i="64"/>
  <c r="C185" i="64"/>
  <c r="D185" i="64"/>
  <c r="B186" i="64"/>
  <c r="C186" i="64"/>
  <c r="D186" i="64"/>
  <c r="B187" i="64"/>
  <c r="C187" i="64"/>
  <c r="D187" i="64"/>
  <c r="B188" i="64"/>
  <c r="C188" i="64"/>
  <c r="D188" i="64"/>
  <c r="B189" i="64"/>
  <c r="C189" i="64"/>
  <c r="D189" i="64"/>
  <c r="B190" i="64"/>
  <c r="C190" i="64"/>
  <c r="D190" i="64"/>
  <c r="B191" i="64"/>
  <c r="C191" i="64"/>
  <c r="D191" i="64"/>
  <c r="B192" i="64"/>
  <c r="C192" i="64"/>
  <c r="D192" i="64"/>
  <c r="B193" i="64"/>
  <c r="C193" i="64"/>
  <c r="D193" i="64"/>
  <c r="B194" i="64"/>
  <c r="C194" i="64"/>
  <c r="D194" i="64"/>
  <c r="B195" i="64"/>
  <c r="C195" i="64"/>
  <c r="D195" i="64"/>
  <c r="B196" i="64"/>
  <c r="C196" i="64"/>
  <c r="D196" i="64"/>
  <c r="B197" i="64"/>
  <c r="C197" i="64"/>
  <c r="D197" i="64"/>
  <c r="B198" i="64"/>
  <c r="C198" i="64"/>
  <c r="D198" i="64"/>
  <c r="B199" i="64"/>
  <c r="C199" i="64"/>
  <c r="D199" i="64"/>
  <c r="B200" i="64"/>
  <c r="C200" i="64"/>
  <c r="D200" i="64"/>
  <c r="B201" i="64"/>
  <c r="C201" i="64"/>
  <c r="D201" i="64"/>
  <c r="B202" i="64"/>
  <c r="C202" i="64"/>
  <c r="D202" i="64"/>
  <c r="B203" i="64"/>
  <c r="C203" i="64"/>
  <c r="D203" i="64"/>
  <c r="B204" i="64"/>
  <c r="C204" i="64"/>
  <c r="D204" i="64"/>
  <c r="B205" i="64"/>
  <c r="C205" i="64"/>
  <c r="D205" i="64"/>
  <c r="B206" i="64"/>
  <c r="C206" i="64"/>
  <c r="D206" i="64"/>
  <c r="B207" i="64"/>
  <c r="C207" i="64"/>
  <c r="D207" i="64"/>
  <c r="B208" i="64"/>
  <c r="C208" i="64"/>
  <c r="D208" i="64"/>
  <c r="B209" i="64"/>
  <c r="C209" i="64"/>
  <c r="D209" i="64"/>
  <c r="B210" i="64"/>
  <c r="C210" i="64"/>
  <c r="D210" i="64"/>
  <c r="B211" i="64"/>
  <c r="C211" i="64"/>
  <c r="D211" i="64"/>
  <c r="B212" i="64"/>
  <c r="C212" i="64"/>
  <c r="D212" i="64"/>
  <c r="B213" i="64"/>
  <c r="C213" i="64"/>
  <c r="D213" i="64"/>
  <c r="B214" i="64"/>
  <c r="C214" i="64"/>
  <c r="D214" i="64"/>
  <c r="B215" i="64"/>
  <c r="C215" i="64"/>
  <c r="D215" i="64"/>
  <c r="B216" i="64"/>
  <c r="C216" i="64"/>
  <c r="D216" i="64"/>
  <c r="B217" i="64"/>
  <c r="C217" i="64"/>
  <c r="D217" i="64"/>
  <c r="B218" i="64"/>
  <c r="C218" i="64"/>
  <c r="D218" i="64"/>
  <c r="B219" i="64"/>
  <c r="C219" i="64"/>
  <c r="D219" i="64"/>
  <c r="B220" i="64"/>
  <c r="C220" i="64"/>
  <c r="D220" i="64"/>
  <c r="B221" i="64"/>
  <c r="C221" i="64"/>
  <c r="D221" i="64"/>
  <c r="B222" i="64"/>
  <c r="C222" i="64"/>
  <c r="D222" i="64"/>
  <c r="B223" i="64"/>
  <c r="C223" i="64"/>
  <c r="D223" i="64"/>
  <c r="B224" i="64"/>
  <c r="C224" i="64"/>
  <c r="D224" i="64"/>
  <c r="B225" i="64"/>
  <c r="C225" i="64"/>
  <c r="D225" i="64"/>
  <c r="B226" i="64"/>
  <c r="C226" i="64"/>
  <c r="D226" i="64"/>
  <c r="B227" i="64"/>
  <c r="C227" i="64"/>
  <c r="D227" i="64"/>
  <c r="B228" i="64"/>
  <c r="C228" i="64"/>
  <c r="D228" i="64"/>
  <c r="B229" i="64"/>
  <c r="C229" i="64"/>
  <c r="D229" i="64"/>
  <c r="B230" i="64"/>
  <c r="C230" i="64"/>
  <c r="D230" i="64"/>
  <c r="B231" i="64"/>
  <c r="C231" i="64"/>
  <c r="D231" i="64"/>
  <c r="B232" i="64"/>
  <c r="C232" i="64"/>
  <c r="D232" i="64"/>
  <c r="B233" i="64"/>
  <c r="C233" i="64"/>
  <c r="D233" i="64"/>
  <c r="B234" i="64"/>
  <c r="C234" i="64"/>
  <c r="D234" i="64"/>
  <c r="B235" i="64"/>
  <c r="C235" i="64"/>
  <c r="D235" i="64"/>
  <c r="B236" i="64"/>
  <c r="C236" i="64"/>
  <c r="D236" i="64"/>
  <c r="B237" i="64"/>
  <c r="C237" i="64"/>
  <c r="D237" i="64"/>
  <c r="B238" i="64"/>
  <c r="C238" i="64"/>
  <c r="D238" i="64"/>
  <c r="B239" i="64"/>
  <c r="C239" i="64"/>
  <c r="D239" i="64"/>
  <c r="B240" i="64"/>
  <c r="C240" i="64"/>
  <c r="D240" i="64"/>
  <c r="B241" i="64"/>
  <c r="C241" i="64"/>
  <c r="D241" i="64"/>
  <c r="B242" i="64"/>
  <c r="C242" i="64"/>
  <c r="D242" i="64"/>
  <c r="B243" i="64"/>
  <c r="C243" i="64"/>
  <c r="D243" i="64"/>
  <c r="B244" i="64"/>
  <c r="C244" i="64"/>
  <c r="D244" i="64"/>
  <c r="B245" i="64"/>
  <c r="C245" i="64"/>
  <c r="D245" i="64"/>
  <c r="B246" i="64"/>
  <c r="C246" i="64"/>
  <c r="D246" i="64"/>
  <c r="B247" i="64"/>
  <c r="C247" i="64"/>
  <c r="D247" i="64"/>
  <c r="B248" i="64"/>
  <c r="C248" i="64"/>
  <c r="D248" i="64"/>
  <c r="B249" i="64"/>
  <c r="C249" i="64"/>
  <c r="D249" i="64"/>
  <c r="B250" i="64"/>
  <c r="C250" i="64"/>
  <c r="D250" i="64"/>
  <c r="B251" i="64"/>
  <c r="C251" i="64"/>
  <c r="D251" i="64"/>
  <c r="B252" i="64"/>
  <c r="C252" i="64"/>
  <c r="D252" i="64"/>
  <c r="B253" i="64"/>
  <c r="C253" i="64"/>
  <c r="D253" i="64"/>
  <c r="B254" i="64"/>
  <c r="C254" i="64"/>
  <c r="D254" i="64"/>
  <c r="B255" i="64"/>
  <c r="C255" i="64"/>
  <c r="D255" i="64"/>
  <c r="B256" i="64"/>
  <c r="C256" i="64"/>
  <c r="D256" i="64"/>
  <c r="B257" i="64"/>
  <c r="C257" i="64"/>
  <c r="D257" i="64"/>
  <c r="B258" i="64"/>
  <c r="C258" i="64"/>
  <c r="D258" i="64"/>
  <c r="B259" i="64"/>
  <c r="C259" i="64"/>
  <c r="D259" i="64"/>
  <c r="B260" i="64"/>
  <c r="C260" i="64"/>
  <c r="D260" i="64"/>
  <c r="B261" i="64"/>
  <c r="C261" i="64"/>
  <c r="D261" i="64"/>
  <c r="B262" i="64"/>
  <c r="C262" i="64"/>
  <c r="D262" i="64"/>
  <c r="B263" i="64"/>
  <c r="C263" i="64"/>
  <c r="D263" i="64"/>
  <c r="B264" i="64"/>
  <c r="C264" i="64"/>
  <c r="D264" i="64"/>
  <c r="B265" i="64"/>
  <c r="C265" i="64"/>
  <c r="D265" i="64"/>
  <c r="B266" i="64"/>
  <c r="C266" i="64"/>
  <c r="D266" i="64"/>
  <c r="B267" i="64"/>
  <c r="C267" i="64"/>
  <c r="D267" i="64"/>
  <c r="B268" i="64"/>
  <c r="C268" i="64"/>
  <c r="D268" i="64"/>
  <c r="B269" i="64"/>
  <c r="C269" i="64"/>
  <c r="D269" i="64"/>
  <c r="B270" i="64"/>
  <c r="C270" i="64"/>
  <c r="D270" i="64"/>
  <c r="B271" i="64"/>
  <c r="C271" i="64"/>
  <c r="D271" i="64"/>
  <c r="B272" i="64"/>
  <c r="C272" i="64"/>
  <c r="D272" i="64"/>
  <c r="B273" i="64"/>
  <c r="C273" i="64"/>
  <c r="D273" i="64"/>
  <c r="B274" i="64"/>
  <c r="C274" i="64"/>
  <c r="D274" i="64"/>
  <c r="B275" i="64"/>
  <c r="C275" i="64"/>
  <c r="D275" i="64"/>
  <c r="B276" i="64"/>
  <c r="C276" i="64"/>
  <c r="D276" i="64"/>
  <c r="B277" i="64"/>
  <c r="C277" i="64"/>
  <c r="D277" i="64"/>
  <c r="B278" i="64"/>
  <c r="C278" i="64"/>
  <c r="D278" i="64"/>
  <c r="B279" i="64"/>
  <c r="C279" i="64"/>
  <c r="D279" i="64"/>
  <c r="B280" i="64"/>
  <c r="C280" i="64"/>
  <c r="D280" i="64"/>
  <c r="B281" i="64"/>
  <c r="C281" i="64"/>
  <c r="D281" i="64"/>
  <c r="B282" i="64"/>
  <c r="C282" i="64"/>
  <c r="D282" i="64"/>
  <c r="B283" i="64"/>
  <c r="C283" i="64"/>
  <c r="D283" i="64"/>
  <c r="B284" i="64"/>
  <c r="C284" i="64"/>
  <c r="D284" i="64"/>
  <c r="B285" i="64"/>
  <c r="C285" i="64"/>
  <c r="D285" i="64"/>
  <c r="B286" i="64"/>
  <c r="C286" i="64"/>
  <c r="D286" i="64"/>
  <c r="B287" i="64"/>
  <c r="C287" i="64"/>
  <c r="D287" i="64"/>
  <c r="B288" i="64"/>
  <c r="C288" i="64"/>
  <c r="D288" i="64"/>
  <c r="B289" i="64"/>
  <c r="C289" i="64"/>
  <c r="D289" i="64"/>
  <c r="B290" i="64"/>
  <c r="C290" i="64"/>
  <c r="D290" i="64"/>
  <c r="B291" i="64"/>
  <c r="C291" i="64"/>
  <c r="D291" i="64"/>
  <c r="B292" i="64"/>
  <c r="C292" i="64"/>
  <c r="D292" i="64"/>
  <c r="B293" i="64"/>
  <c r="C293" i="64"/>
  <c r="D293" i="64"/>
  <c r="B294" i="64"/>
  <c r="C294" i="64"/>
  <c r="D294" i="64"/>
  <c r="B295" i="64"/>
  <c r="C295" i="64"/>
  <c r="D295" i="64"/>
  <c r="B296" i="64"/>
  <c r="C296" i="64"/>
  <c r="D296" i="64"/>
  <c r="B297" i="64"/>
  <c r="C297" i="64"/>
  <c r="D297" i="64"/>
  <c r="B298" i="64"/>
  <c r="C298" i="64"/>
  <c r="D298" i="64"/>
  <c r="B299" i="64"/>
  <c r="C299" i="64"/>
  <c r="D299" i="64"/>
  <c r="B300" i="64"/>
  <c r="C300" i="64"/>
  <c r="D300" i="64"/>
  <c r="B301" i="64"/>
  <c r="C301" i="64"/>
  <c r="D301" i="64"/>
  <c r="B302" i="64"/>
  <c r="C302" i="64"/>
  <c r="D302" i="64"/>
  <c r="B303" i="64"/>
  <c r="C303" i="64"/>
  <c r="D303" i="64"/>
  <c r="B304" i="64"/>
  <c r="C304" i="64"/>
  <c r="D304" i="64"/>
  <c r="B305" i="64"/>
  <c r="C305" i="64"/>
  <c r="D305" i="64"/>
  <c r="B306" i="64"/>
  <c r="C306" i="64"/>
  <c r="D306" i="64"/>
  <c r="B307" i="64"/>
  <c r="C307" i="64"/>
  <c r="D307" i="64"/>
  <c r="B308" i="64"/>
  <c r="C308" i="64"/>
  <c r="D308" i="64"/>
  <c r="B309" i="64"/>
  <c r="C309" i="64"/>
  <c r="D309" i="64"/>
  <c r="B310" i="64"/>
  <c r="C310" i="64"/>
  <c r="D310" i="64"/>
  <c r="B311" i="64"/>
  <c r="C311" i="64"/>
  <c r="D311" i="64"/>
  <c r="B312" i="64"/>
  <c r="C312" i="64"/>
  <c r="D312" i="64"/>
  <c r="B313" i="64"/>
  <c r="C313" i="64"/>
  <c r="D313" i="64"/>
  <c r="B314" i="64"/>
  <c r="C314" i="64"/>
  <c r="D314" i="64"/>
  <c r="B315" i="64"/>
  <c r="C315" i="64"/>
  <c r="D315" i="64"/>
  <c r="B316" i="64"/>
  <c r="C316" i="64"/>
  <c r="D316" i="64"/>
  <c r="B317" i="64"/>
  <c r="C317" i="64"/>
  <c r="D317" i="64"/>
  <c r="B318" i="64"/>
  <c r="C318" i="64"/>
  <c r="D318" i="64"/>
  <c r="B319" i="64"/>
  <c r="C319" i="64"/>
  <c r="D319" i="64"/>
  <c r="B320" i="64"/>
  <c r="C320" i="64"/>
  <c r="D320" i="64"/>
  <c r="B321" i="64"/>
  <c r="C321" i="64"/>
  <c r="D321" i="64"/>
  <c r="B322" i="64"/>
  <c r="C322" i="64"/>
  <c r="D322" i="64"/>
  <c r="B323" i="64"/>
  <c r="C323" i="64"/>
  <c r="D323" i="64"/>
  <c r="B324" i="64"/>
  <c r="C324" i="64"/>
  <c r="D324" i="64"/>
  <c r="B325" i="64"/>
  <c r="C325" i="64"/>
  <c r="D325" i="64"/>
  <c r="B326" i="64"/>
  <c r="C326" i="64"/>
  <c r="D326" i="64"/>
  <c r="B327" i="64"/>
  <c r="C327" i="64"/>
  <c r="D327" i="64"/>
  <c r="B328" i="64"/>
  <c r="C328" i="64"/>
  <c r="D328" i="64"/>
  <c r="B329" i="64"/>
  <c r="C329" i="64"/>
  <c r="D329" i="64"/>
  <c r="B330" i="64"/>
  <c r="C330" i="64"/>
  <c r="D330" i="64"/>
  <c r="B331" i="64"/>
  <c r="C331" i="64"/>
  <c r="D331" i="64"/>
  <c r="B332" i="64"/>
  <c r="C332" i="64"/>
  <c r="D332" i="64"/>
  <c r="B333" i="64"/>
  <c r="C333" i="64"/>
  <c r="D333" i="64"/>
  <c r="B334" i="64"/>
  <c r="C334" i="64"/>
  <c r="D334" i="64"/>
  <c r="B335" i="64"/>
  <c r="C335" i="64"/>
  <c r="D335" i="64"/>
  <c r="B336" i="64"/>
  <c r="C336" i="64"/>
  <c r="D336" i="64"/>
  <c r="B337" i="64"/>
  <c r="C337" i="64"/>
  <c r="D337" i="64"/>
  <c r="B338" i="64"/>
  <c r="C338" i="64"/>
  <c r="D338" i="64"/>
  <c r="B339" i="64"/>
  <c r="C339" i="64"/>
  <c r="D339" i="64"/>
  <c r="B340" i="64"/>
  <c r="C340" i="64"/>
  <c r="D340" i="64"/>
  <c r="B341" i="64"/>
  <c r="C341" i="64"/>
  <c r="D341" i="64"/>
  <c r="B342" i="64"/>
  <c r="C342" i="64"/>
  <c r="D342" i="64"/>
  <c r="B343" i="64"/>
  <c r="C343" i="64"/>
  <c r="D343" i="64"/>
  <c r="B344" i="64"/>
  <c r="C344" i="64"/>
  <c r="D344" i="64"/>
  <c r="B345" i="64"/>
  <c r="C345" i="64"/>
  <c r="D345" i="64"/>
  <c r="B346" i="64"/>
  <c r="C346" i="64"/>
  <c r="D346" i="64"/>
  <c r="B347" i="64"/>
  <c r="C347" i="64"/>
  <c r="D347" i="64"/>
  <c r="B348" i="64"/>
  <c r="C348" i="64"/>
  <c r="D348" i="64"/>
  <c r="B349" i="64"/>
  <c r="C349" i="64"/>
  <c r="D349" i="64"/>
  <c r="B350" i="64"/>
  <c r="C350" i="64"/>
  <c r="D350" i="64"/>
  <c r="B351" i="64"/>
  <c r="C351" i="64"/>
  <c r="D351" i="64"/>
  <c r="B352" i="64"/>
  <c r="C352" i="64"/>
  <c r="D352" i="64"/>
  <c r="B353" i="64"/>
  <c r="C353" i="64"/>
  <c r="D353" i="64"/>
  <c r="B354" i="64"/>
  <c r="C354" i="64"/>
  <c r="D354" i="64"/>
  <c r="B355" i="64"/>
  <c r="C355" i="64"/>
  <c r="D355" i="64"/>
  <c r="B356" i="64"/>
  <c r="C356" i="64"/>
  <c r="D356" i="64"/>
  <c r="B357" i="64"/>
  <c r="C357" i="64"/>
  <c r="D357" i="64"/>
  <c r="B358" i="64"/>
  <c r="C358" i="64"/>
  <c r="D358" i="64"/>
  <c r="B359" i="64"/>
  <c r="C359" i="64"/>
  <c r="D359" i="64"/>
  <c r="B360" i="64"/>
  <c r="C360" i="64"/>
  <c r="D360" i="64"/>
  <c r="B361" i="64"/>
  <c r="C361" i="64"/>
  <c r="D361" i="64"/>
  <c r="B362" i="64"/>
  <c r="C362" i="64"/>
  <c r="D362" i="64"/>
  <c r="B363" i="64"/>
  <c r="C363" i="64"/>
  <c r="D363" i="64"/>
  <c r="B364" i="64"/>
  <c r="C364" i="64"/>
  <c r="D364" i="64"/>
  <c r="B365" i="64"/>
  <c r="C365" i="64"/>
  <c r="D365" i="64"/>
  <c r="B366" i="64"/>
  <c r="C366" i="64"/>
  <c r="D366" i="64"/>
  <c r="B367" i="64"/>
  <c r="C367" i="64"/>
  <c r="D367" i="64"/>
  <c r="B368" i="64"/>
  <c r="C368" i="64"/>
  <c r="D368" i="64"/>
  <c r="B369" i="64"/>
  <c r="C369" i="64"/>
  <c r="D369" i="64"/>
  <c r="B370" i="64"/>
  <c r="C370" i="64"/>
  <c r="D370" i="64"/>
  <c r="B371" i="64"/>
  <c r="C371" i="64"/>
  <c r="D371" i="64"/>
  <c r="B372" i="64"/>
  <c r="C372" i="64"/>
  <c r="D372" i="64"/>
  <c r="B373" i="64"/>
  <c r="C373" i="64"/>
  <c r="D373" i="64"/>
  <c r="B374" i="64"/>
  <c r="C374" i="64"/>
  <c r="D374" i="64"/>
  <c r="B375" i="64"/>
  <c r="C375" i="64"/>
  <c r="D375" i="64"/>
  <c r="B376" i="64"/>
  <c r="C376" i="64"/>
  <c r="D376" i="64"/>
  <c r="B377" i="64"/>
  <c r="C377" i="64"/>
  <c r="D377" i="64"/>
  <c r="B378" i="64"/>
  <c r="C378" i="64"/>
  <c r="D378" i="64"/>
  <c r="B379" i="64"/>
  <c r="C379" i="64"/>
  <c r="D379" i="64"/>
  <c r="B380" i="64"/>
  <c r="C380" i="64"/>
  <c r="D380" i="64"/>
  <c r="B381" i="64"/>
  <c r="C381" i="64"/>
  <c r="D381" i="64"/>
  <c r="B382" i="64"/>
  <c r="C382" i="64"/>
  <c r="D382" i="64"/>
  <c r="B383" i="64"/>
  <c r="C383" i="64"/>
  <c r="D383" i="64"/>
  <c r="B384" i="64"/>
  <c r="C384" i="64"/>
  <c r="D384" i="64"/>
  <c r="B385" i="64"/>
  <c r="C385" i="64"/>
  <c r="D385" i="64"/>
  <c r="B386" i="64"/>
  <c r="C386" i="64"/>
  <c r="D386" i="64"/>
  <c r="B387" i="64"/>
  <c r="C387" i="64"/>
  <c r="D387" i="64"/>
  <c r="B388" i="64"/>
  <c r="C388" i="64"/>
  <c r="D388" i="64"/>
  <c r="B389" i="64"/>
  <c r="C389" i="64"/>
  <c r="D389" i="64"/>
  <c r="B390" i="64"/>
  <c r="C390" i="64"/>
  <c r="D390" i="64"/>
  <c r="B391" i="64"/>
  <c r="C391" i="64"/>
  <c r="D391" i="64"/>
  <c r="B392" i="64"/>
  <c r="C392" i="64"/>
  <c r="D392" i="64"/>
  <c r="B393" i="64"/>
  <c r="C393" i="64"/>
  <c r="D393" i="64"/>
  <c r="B394" i="64"/>
  <c r="C394" i="64"/>
  <c r="D394" i="64"/>
  <c r="B395" i="64"/>
  <c r="C395" i="64"/>
  <c r="D395" i="64"/>
  <c r="B396" i="64"/>
  <c r="C396" i="64"/>
  <c r="D396" i="64"/>
  <c r="B397" i="64"/>
  <c r="C397" i="64"/>
  <c r="D397" i="64"/>
  <c r="B398" i="64"/>
  <c r="C398" i="64"/>
  <c r="D398" i="64"/>
  <c r="B399" i="64"/>
  <c r="C399" i="64"/>
  <c r="D399" i="64"/>
  <c r="B400" i="64"/>
  <c r="C400" i="64"/>
  <c r="D400" i="64"/>
  <c r="B401" i="64"/>
  <c r="C401" i="64"/>
  <c r="D401" i="64"/>
  <c r="B402" i="64"/>
  <c r="C402" i="64"/>
  <c r="D402" i="64"/>
  <c r="B403" i="64"/>
  <c r="C403" i="64"/>
  <c r="D403" i="64"/>
  <c r="B404" i="64"/>
  <c r="C404" i="64"/>
  <c r="D404" i="64"/>
  <c r="B405" i="64"/>
  <c r="C405" i="64"/>
  <c r="D405" i="64"/>
  <c r="B406" i="64"/>
  <c r="C406" i="64"/>
  <c r="D406" i="64"/>
  <c r="B407" i="64"/>
  <c r="C407" i="64"/>
  <c r="D407" i="64"/>
  <c r="B408" i="64"/>
  <c r="C408" i="64"/>
  <c r="D408" i="64"/>
  <c r="B409" i="64"/>
  <c r="C409" i="64"/>
  <c r="D409" i="64"/>
  <c r="B410" i="64"/>
  <c r="C410" i="64"/>
  <c r="D410" i="64"/>
  <c r="B411" i="64"/>
  <c r="C411" i="64"/>
  <c r="D411" i="64"/>
  <c r="B412" i="64"/>
  <c r="C412" i="64"/>
  <c r="D412" i="64"/>
  <c r="B413" i="64"/>
  <c r="C413" i="64"/>
  <c r="D413" i="64"/>
  <c r="B414" i="64"/>
  <c r="C414" i="64"/>
  <c r="D414" i="64"/>
  <c r="B415" i="64"/>
  <c r="C415" i="64"/>
  <c r="D415" i="64"/>
  <c r="B416" i="64"/>
  <c r="C416" i="64"/>
  <c r="D416" i="64"/>
  <c r="B417" i="64"/>
  <c r="C417" i="64"/>
  <c r="D417" i="64"/>
  <c r="B418" i="64"/>
  <c r="C418" i="64"/>
  <c r="D418" i="64"/>
  <c r="B419" i="64"/>
  <c r="C419" i="64"/>
  <c r="D419" i="64"/>
  <c r="B420" i="64"/>
  <c r="C420" i="64"/>
  <c r="D420" i="64"/>
  <c r="B421" i="64"/>
  <c r="C421" i="64"/>
  <c r="D421" i="64"/>
  <c r="B422" i="64"/>
  <c r="C422" i="64"/>
  <c r="D422" i="64"/>
  <c r="B423" i="64"/>
  <c r="C423" i="64"/>
  <c r="D423" i="64"/>
  <c r="B424" i="64"/>
  <c r="C424" i="64"/>
  <c r="D424" i="64"/>
  <c r="B425" i="64"/>
  <c r="C425" i="64"/>
  <c r="D425" i="64"/>
  <c r="B426" i="64"/>
  <c r="C426" i="64"/>
  <c r="D426" i="64"/>
  <c r="B427" i="64"/>
  <c r="C427" i="64"/>
  <c r="D427" i="64"/>
  <c r="B428" i="64"/>
  <c r="C428" i="64"/>
  <c r="D428" i="64"/>
  <c r="B429" i="64"/>
  <c r="C429" i="64"/>
  <c r="D429" i="64"/>
  <c r="B430" i="64"/>
  <c r="C430" i="64"/>
  <c r="D430" i="64"/>
  <c r="B431" i="64"/>
  <c r="C431" i="64"/>
  <c r="D431" i="64"/>
  <c r="B432" i="64"/>
  <c r="C432" i="64"/>
  <c r="D432" i="64"/>
  <c r="B433" i="64"/>
  <c r="C433" i="64"/>
  <c r="D433" i="64"/>
  <c r="B434" i="64"/>
  <c r="C434" i="64"/>
  <c r="D434" i="64"/>
  <c r="B435" i="64"/>
  <c r="C435" i="64"/>
  <c r="D435" i="64"/>
  <c r="B436" i="64"/>
  <c r="C436" i="64"/>
  <c r="D436" i="64"/>
  <c r="B437" i="64"/>
  <c r="C437" i="64"/>
  <c r="D437" i="64"/>
  <c r="B438" i="64"/>
  <c r="C438" i="64"/>
  <c r="D438" i="64"/>
  <c r="B439" i="64"/>
  <c r="C439" i="64"/>
  <c r="D439" i="64"/>
  <c r="B440" i="64"/>
  <c r="C440" i="64"/>
  <c r="D440" i="64"/>
  <c r="B441" i="64"/>
  <c r="C441" i="64"/>
  <c r="D441" i="64"/>
  <c r="B442" i="64"/>
  <c r="C442" i="64"/>
  <c r="D442" i="64"/>
  <c r="B443" i="64"/>
  <c r="C443" i="64"/>
  <c r="D443" i="64"/>
  <c r="B444" i="64"/>
  <c r="C444" i="64"/>
  <c r="D444" i="64"/>
  <c r="B445" i="64"/>
  <c r="C445" i="64"/>
  <c r="D445" i="64"/>
  <c r="B446" i="64"/>
  <c r="C446" i="64"/>
  <c r="D446" i="64"/>
  <c r="B447" i="64"/>
  <c r="C447" i="64"/>
  <c r="D447" i="64"/>
  <c r="B448" i="64"/>
  <c r="C448" i="64"/>
  <c r="D448" i="64"/>
  <c r="B449" i="64"/>
  <c r="C449" i="64"/>
  <c r="D449" i="64"/>
  <c r="B450" i="64"/>
  <c r="C450" i="64"/>
  <c r="D450" i="64"/>
  <c r="B451" i="64"/>
  <c r="C451" i="64"/>
  <c r="D451" i="64"/>
  <c r="B452" i="64"/>
  <c r="C452" i="64"/>
  <c r="D452" i="64"/>
  <c r="B453" i="64"/>
  <c r="C453" i="64"/>
  <c r="D453" i="64"/>
  <c r="B454" i="64"/>
  <c r="C454" i="64"/>
  <c r="D454" i="64"/>
  <c r="B455" i="64"/>
  <c r="C455" i="64"/>
  <c r="D455" i="64"/>
  <c r="B456" i="64"/>
  <c r="C456" i="64"/>
  <c r="D456" i="64"/>
  <c r="B457" i="64"/>
  <c r="C457" i="64"/>
  <c r="D457" i="64"/>
  <c r="B458" i="64"/>
  <c r="C458" i="64"/>
  <c r="D458" i="64"/>
  <c r="B459" i="64"/>
  <c r="C459" i="64"/>
  <c r="D459" i="64"/>
  <c r="B460" i="64"/>
  <c r="C460" i="64"/>
  <c r="D460" i="64"/>
  <c r="B461" i="64"/>
  <c r="C461" i="64"/>
  <c r="D461" i="64"/>
  <c r="B462" i="64"/>
  <c r="C462" i="64"/>
  <c r="D462" i="64"/>
  <c r="B463" i="64"/>
  <c r="C463" i="64"/>
  <c r="D463" i="64"/>
  <c r="B464" i="64"/>
  <c r="C464" i="64"/>
  <c r="D464" i="64"/>
  <c r="B465" i="64"/>
  <c r="C465" i="64"/>
  <c r="D465" i="64"/>
  <c r="B466" i="64"/>
  <c r="C466" i="64"/>
  <c r="D466" i="64"/>
  <c r="B467" i="64"/>
  <c r="C467" i="64"/>
  <c r="D467" i="64"/>
  <c r="B468" i="64"/>
  <c r="C468" i="64"/>
  <c r="D468" i="64"/>
  <c r="B469" i="64"/>
  <c r="C469" i="64"/>
  <c r="D469" i="64"/>
  <c r="B470" i="64"/>
  <c r="C470" i="64"/>
  <c r="D470" i="64"/>
  <c r="B471" i="64"/>
  <c r="C471" i="64"/>
  <c r="D471" i="64"/>
  <c r="B472" i="64"/>
  <c r="C472" i="64"/>
  <c r="D472" i="64"/>
  <c r="B473" i="64"/>
  <c r="C473" i="64"/>
  <c r="D473" i="64"/>
  <c r="B474" i="64"/>
  <c r="C474" i="64"/>
  <c r="D474" i="64"/>
  <c r="B475" i="64"/>
  <c r="C475" i="64"/>
  <c r="D475" i="64"/>
  <c r="B476" i="64"/>
  <c r="C476" i="64"/>
  <c r="D476" i="64"/>
  <c r="B477" i="64"/>
  <c r="C477" i="64"/>
  <c r="D477" i="64"/>
  <c r="B478" i="64"/>
  <c r="C478" i="64"/>
  <c r="D478" i="64"/>
  <c r="B479" i="64"/>
  <c r="C479" i="64"/>
  <c r="D479" i="64"/>
  <c r="B480" i="64"/>
  <c r="C480" i="64"/>
  <c r="D480" i="64"/>
  <c r="B481" i="64"/>
  <c r="C481" i="64"/>
  <c r="D481" i="64"/>
  <c r="B482" i="64"/>
  <c r="C482" i="64"/>
  <c r="D482" i="64"/>
  <c r="B483" i="64"/>
  <c r="C483" i="64"/>
  <c r="D483" i="64"/>
  <c r="B484" i="64"/>
  <c r="C484" i="64"/>
  <c r="D484" i="64"/>
  <c r="B485" i="64"/>
  <c r="C485" i="64"/>
  <c r="D485" i="64"/>
  <c r="B486" i="64"/>
  <c r="C486" i="64"/>
  <c r="D486" i="64"/>
  <c r="B487" i="64"/>
  <c r="C487" i="64"/>
  <c r="D487" i="64"/>
  <c r="B488" i="64"/>
  <c r="C488" i="64"/>
  <c r="D488" i="64"/>
  <c r="B489" i="64"/>
  <c r="C489" i="64"/>
  <c r="D489" i="64"/>
  <c r="B490" i="64"/>
  <c r="C490" i="64"/>
  <c r="D490" i="64"/>
  <c r="B491" i="64"/>
  <c r="C491" i="64"/>
  <c r="D491" i="64"/>
  <c r="B492" i="64"/>
  <c r="C492" i="64"/>
  <c r="D492" i="64"/>
  <c r="B493" i="64"/>
  <c r="C493" i="64"/>
  <c r="D493" i="64"/>
  <c r="B494" i="64"/>
  <c r="C494" i="64"/>
  <c r="D494" i="64"/>
  <c r="B495" i="64"/>
  <c r="C495" i="64"/>
  <c r="D495" i="64"/>
  <c r="B496" i="64"/>
  <c r="C496" i="64"/>
  <c r="D496" i="64"/>
  <c r="B497" i="64"/>
  <c r="C497" i="64"/>
  <c r="D497" i="64"/>
  <c r="B498" i="64"/>
  <c r="C498" i="64"/>
  <c r="D498" i="64"/>
  <c r="B499" i="64"/>
  <c r="C499" i="64"/>
  <c r="D499" i="64"/>
  <c r="B500" i="64"/>
  <c r="C500" i="64"/>
  <c r="D500" i="64"/>
  <c r="B501" i="64"/>
  <c r="C501" i="64"/>
  <c r="D501" i="64"/>
  <c r="B502" i="64"/>
  <c r="C502" i="64"/>
  <c r="D502" i="64"/>
  <c r="B503" i="64"/>
  <c r="C503" i="64"/>
  <c r="D503" i="64"/>
  <c r="B504" i="64"/>
  <c r="C504" i="64"/>
  <c r="D504" i="64"/>
  <c r="B505" i="64"/>
  <c r="C505" i="64"/>
  <c r="D505" i="64"/>
  <c r="B506" i="64"/>
  <c r="C506" i="64"/>
  <c r="D506" i="64"/>
  <c r="B507" i="64"/>
  <c r="C507" i="64"/>
  <c r="D507" i="64"/>
  <c r="B508" i="64"/>
  <c r="C508" i="64"/>
  <c r="D508" i="64"/>
  <c r="B509" i="64"/>
  <c r="C509" i="64"/>
  <c r="D509" i="64"/>
  <c r="B510" i="64"/>
  <c r="C510" i="64"/>
  <c r="D510" i="64"/>
  <c r="B511" i="64"/>
  <c r="C511" i="64"/>
  <c r="D511" i="64"/>
  <c r="B512" i="64"/>
  <c r="C512" i="64"/>
  <c r="D512" i="64"/>
  <c r="B513" i="64"/>
  <c r="C513" i="64"/>
  <c r="D513" i="64"/>
  <c r="B514" i="64"/>
  <c r="C514" i="64"/>
  <c r="D514" i="64"/>
  <c r="B515" i="64"/>
  <c r="C515" i="64"/>
  <c r="D515" i="64"/>
  <c r="B516" i="64"/>
  <c r="C516" i="64"/>
  <c r="D516" i="64"/>
  <c r="B517" i="64"/>
  <c r="C517" i="64"/>
  <c r="D517" i="64"/>
  <c r="B518" i="64"/>
  <c r="C518" i="64"/>
  <c r="D518" i="64"/>
  <c r="B519" i="64"/>
  <c r="C519" i="64"/>
  <c r="D519" i="64"/>
  <c r="B520" i="64"/>
  <c r="C520" i="64"/>
  <c r="D520" i="64"/>
  <c r="B521" i="64"/>
  <c r="C521" i="64"/>
  <c r="D521" i="64"/>
  <c r="B522" i="64"/>
  <c r="C522" i="64"/>
  <c r="D522" i="64"/>
  <c r="B523" i="64"/>
  <c r="C523" i="64"/>
  <c r="D523" i="64"/>
  <c r="B524" i="64"/>
  <c r="C524" i="64"/>
  <c r="D524" i="64"/>
  <c r="B525" i="64"/>
  <c r="C525" i="64"/>
  <c r="D525" i="64"/>
  <c r="B526" i="64"/>
  <c r="C526" i="64"/>
  <c r="D526" i="64"/>
  <c r="B527" i="64"/>
  <c r="C527" i="64"/>
  <c r="D527" i="64"/>
  <c r="B528" i="64"/>
  <c r="C528" i="64"/>
  <c r="D528" i="64"/>
  <c r="B529" i="64"/>
  <c r="C529" i="64"/>
  <c r="D529" i="64"/>
  <c r="B530" i="64"/>
  <c r="C530" i="64"/>
  <c r="D530" i="64"/>
  <c r="B531" i="64"/>
  <c r="C531" i="64"/>
  <c r="D531" i="64"/>
  <c r="B532" i="64"/>
  <c r="C532" i="64"/>
  <c r="D532" i="64"/>
  <c r="B533" i="64"/>
  <c r="C533" i="64"/>
  <c r="D533" i="64"/>
  <c r="B534" i="64"/>
  <c r="C534" i="64"/>
  <c r="D534" i="64"/>
  <c r="B535" i="64"/>
  <c r="C535" i="64"/>
  <c r="D535" i="64"/>
  <c r="B536" i="64"/>
  <c r="C536" i="64"/>
  <c r="D536" i="64"/>
  <c r="B537" i="64"/>
  <c r="C537" i="64"/>
  <c r="D537" i="64"/>
  <c r="B538" i="64"/>
  <c r="C538" i="64"/>
  <c r="D538" i="64"/>
  <c r="B539" i="64"/>
  <c r="C539" i="64"/>
  <c r="D539" i="64"/>
  <c r="B540" i="64"/>
  <c r="C540" i="64"/>
  <c r="D540" i="64"/>
  <c r="B541" i="64"/>
  <c r="C541" i="64"/>
  <c r="D541" i="64"/>
  <c r="B542" i="64"/>
  <c r="C542" i="64"/>
  <c r="D542" i="64"/>
  <c r="B543" i="64"/>
  <c r="C543" i="64"/>
  <c r="D543" i="64"/>
  <c r="B544" i="64"/>
  <c r="C544" i="64"/>
  <c r="D544" i="64"/>
  <c r="B545" i="64"/>
  <c r="C545" i="64"/>
  <c r="D545" i="64"/>
  <c r="B546" i="64"/>
  <c r="C546" i="64"/>
  <c r="D546" i="64"/>
  <c r="B547" i="64"/>
  <c r="C547" i="64"/>
  <c r="D547" i="64"/>
  <c r="B548" i="64"/>
  <c r="C548" i="64"/>
  <c r="D548" i="64"/>
  <c r="B549" i="64"/>
  <c r="C549" i="64"/>
  <c r="D549" i="64"/>
  <c r="B550" i="64"/>
  <c r="C550" i="64"/>
  <c r="D550" i="64"/>
  <c r="B551" i="64"/>
  <c r="C551" i="64"/>
  <c r="D551" i="64"/>
  <c r="B552" i="64"/>
  <c r="C552" i="64"/>
  <c r="D552" i="64"/>
  <c r="B553" i="64"/>
  <c r="C553" i="64"/>
  <c r="D553" i="64"/>
  <c r="B554" i="64"/>
  <c r="C554" i="64"/>
  <c r="D554" i="64"/>
  <c r="B555" i="64"/>
  <c r="C555" i="64"/>
  <c r="D555" i="64"/>
  <c r="B556" i="64"/>
  <c r="C556" i="64"/>
  <c r="D556" i="64"/>
  <c r="B557" i="64"/>
  <c r="C557" i="64"/>
  <c r="D557" i="64"/>
  <c r="B558" i="64"/>
  <c r="C558" i="64"/>
  <c r="D558" i="64"/>
  <c r="B559" i="64"/>
  <c r="C559" i="64"/>
  <c r="D559" i="64"/>
  <c r="B560" i="64"/>
  <c r="C560" i="64"/>
  <c r="D560" i="64"/>
  <c r="B561" i="64"/>
  <c r="C561" i="64"/>
  <c r="D561" i="64"/>
  <c r="B562" i="64"/>
  <c r="C562" i="64"/>
  <c r="D562" i="64"/>
  <c r="B563" i="64"/>
  <c r="C563" i="64"/>
  <c r="D563" i="64"/>
  <c r="B564" i="64"/>
  <c r="C564" i="64"/>
  <c r="D564" i="64"/>
  <c r="B565" i="64"/>
  <c r="C565" i="64"/>
  <c r="D565" i="64"/>
  <c r="B566" i="64"/>
  <c r="C566" i="64"/>
  <c r="D566" i="64"/>
  <c r="B567" i="64"/>
  <c r="C567" i="64"/>
  <c r="D567" i="64"/>
  <c r="B568" i="64"/>
  <c r="C568" i="64"/>
  <c r="D568" i="64"/>
  <c r="B569" i="64"/>
  <c r="C569" i="64"/>
  <c r="D569" i="64"/>
  <c r="B570" i="64"/>
  <c r="C570" i="64"/>
  <c r="D570" i="64"/>
  <c r="B571" i="64"/>
  <c r="C571" i="64"/>
  <c r="D571" i="64"/>
  <c r="B572" i="64"/>
  <c r="C572" i="64"/>
  <c r="D572" i="64"/>
  <c r="B573" i="64"/>
  <c r="C573" i="64"/>
  <c r="D573" i="64"/>
  <c r="B574" i="64"/>
  <c r="C574" i="64"/>
  <c r="D574" i="64"/>
  <c r="B575" i="64"/>
  <c r="C575" i="64"/>
  <c r="D575" i="64"/>
  <c r="B576" i="64"/>
  <c r="C576" i="64"/>
  <c r="D576" i="64"/>
  <c r="B577" i="64"/>
  <c r="C577" i="64"/>
  <c r="D577" i="64"/>
  <c r="B578" i="64"/>
  <c r="C578" i="64"/>
  <c r="D578" i="64"/>
  <c r="B579" i="64"/>
  <c r="C579" i="64"/>
  <c r="D579" i="64"/>
  <c r="B580" i="64"/>
  <c r="C580" i="64"/>
  <c r="D580" i="64"/>
  <c r="B581" i="64"/>
  <c r="C581" i="64"/>
  <c r="D581" i="64"/>
  <c r="B582" i="64"/>
  <c r="C582" i="64"/>
  <c r="D582" i="64"/>
  <c r="B583" i="64"/>
  <c r="C583" i="64"/>
  <c r="D583" i="64"/>
  <c r="B584" i="64"/>
  <c r="C584" i="64"/>
  <c r="D584" i="64"/>
  <c r="B585" i="64"/>
  <c r="C585" i="64"/>
  <c r="D585" i="64"/>
  <c r="B586" i="64"/>
  <c r="C586" i="64"/>
  <c r="D586" i="64"/>
  <c r="B587" i="64"/>
  <c r="C587" i="64"/>
  <c r="D587" i="64"/>
  <c r="B588" i="64"/>
  <c r="C588" i="64"/>
  <c r="D588" i="64"/>
  <c r="B589" i="64"/>
  <c r="C589" i="64"/>
  <c r="D589" i="64"/>
  <c r="B590" i="64"/>
  <c r="C590" i="64"/>
  <c r="D590" i="64"/>
  <c r="B591" i="64"/>
  <c r="C591" i="64"/>
  <c r="D591" i="64"/>
  <c r="B592" i="64"/>
  <c r="C592" i="64"/>
  <c r="D592" i="64"/>
  <c r="B593" i="64"/>
  <c r="C593" i="64"/>
  <c r="D593" i="64"/>
  <c r="B594" i="64"/>
  <c r="C594" i="64"/>
  <c r="D594" i="64"/>
  <c r="B595" i="64"/>
  <c r="C595" i="64"/>
  <c r="D595" i="64"/>
  <c r="B596" i="64"/>
  <c r="C596" i="64"/>
  <c r="D596" i="64"/>
  <c r="B597" i="64"/>
  <c r="C597" i="64"/>
  <c r="D597" i="64"/>
  <c r="B598" i="64"/>
  <c r="C598" i="64"/>
  <c r="D598" i="64"/>
  <c r="B599" i="64"/>
  <c r="C599" i="64"/>
  <c r="D599" i="64"/>
  <c r="B600" i="64"/>
  <c r="C600" i="64"/>
  <c r="D600" i="64"/>
  <c r="B601" i="64"/>
  <c r="C601" i="64"/>
  <c r="D601" i="64"/>
  <c r="B602" i="64"/>
  <c r="C602" i="64"/>
  <c r="D602" i="64"/>
  <c r="B603" i="64"/>
  <c r="C603" i="64"/>
  <c r="D603" i="64"/>
  <c r="B604" i="64"/>
  <c r="C604" i="64"/>
  <c r="D604" i="64"/>
  <c r="B605" i="64"/>
  <c r="C605" i="64"/>
  <c r="D605" i="64"/>
  <c r="B606" i="64"/>
  <c r="C606" i="64"/>
  <c r="D606" i="64"/>
  <c r="B607" i="64"/>
  <c r="C607" i="64"/>
  <c r="D607" i="64"/>
  <c r="B608" i="64"/>
  <c r="C608" i="64"/>
  <c r="D608" i="64"/>
  <c r="B609" i="64"/>
  <c r="C609" i="64"/>
  <c r="D609" i="64"/>
  <c r="B610" i="64"/>
  <c r="C610" i="64"/>
  <c r="D610" i="64"/>
  <c r="B611" i="64"/>
  <c r="C611" i="64"/>
  <c r="D611" i="64"/>
  <c r="B612" i="64"/>
  <c r="C612" i="64"/>
  <c r="D612" i="64"/>
  <c r="B613" i="64"/>
  <c r="C613" i="64"/>
  <c r="D613" i="64"/>
  <c r="B614" i="64"/>
  <c r="C614" i="64"/>
  <c r="D614" i="64"/>
  <c r="B615" i="64"/>
  <c r="C615" i="64"/>
  <c r="D615" i="64"/>
  <c r="B616" i="64"/>
  <c r="C616" i="64"/>
  <c r="D616" i="64"/>
  <c r="B617" i="64"/>
  <c r="C617" i="64"/>
  <c r="D617" i="64"/>
  <c r="B618" i="64"/>
  <c r="C618" i="64"/>
  <c r="D618" i="64"/>
  <c r="B619" i="64"/>
  <c r="C619" i="64"/>
  <c r="D619" i="64"/>
  <c r="B620" i="64"/>
  <c r="C620" i="64"/>
  <c r="D620" i="64"/>
  <c r="B621" i="64"/>
  <c r="C621" i="64"/>
  <c r="D621" i="64"/>
  <c r="B622" i="64"/>
  <c r="C622" i="64"/>
  <c r="D622" i="64"/>
  <c r="B623" i="64"/>
  <c r="C623" i="64"/>
  <c r="D623" i="64"/>
  <c r="B624" i="64"/>
  <c r="C624" i="64"/>
  <c r="D624" i="64"/>
  <c r="B625" i="64"/>
  <c r="C625" i="64"/>
  <c r="D625" i="64"/>
  <c r="B626" i="64"/>
  <c r="C626" i="64"/>
  <c r="D626" i="64"/>
  <c r="B627" i="64"/>
  <c r="C627" i="64"/>
  <c r="D627" i="64"/>
  <c r="B628" i="64"/>
  <c r="C628" i="64"/>
  <c r="D628" i="64"/>
  <c r="B629" i="64"/>
  <c r="C629" i="64"/>
  <c r="D629" i="64"/>
  <c r="B630" i="64"/>
  <c r="C630" i="64"/>
  <c r="D630" i="64"/>
  <c r="B631" i="64"/>
  <c r="C631" i="64"/>
  <c r="D631" i="64"/>
  <c r="B632" i="64"/>
  <c r="C632" i="64"/>
  <c r="D632" i="64"/>
  <c r="B633" i="64"/>
  <c r="C633" i="64"/>
  <c r="D633" i="64"/>
  <c r="B634" i="64"/>
  <c r="C634" i="64"/>
  <c r="D634" i="64"/>
  <c r="B635" i="64"/>
  <c r="C635" i="64"/>
  <c r="D635" i="64"/>
  <c r="B636" i="64"/>
  <c r="C636" i="64"/>
  <c r="D636" i="64"/>
  <c r="B637" i="64"/>
  <c r="C637" i="64"/>
  <c r="D637" i="64"/>
  <c r="B638" i="64"/>
  <c r="C638" i="64"/>
  <c r="D638" i="64"/>
  <c r="B639" i="64"/>
  <c r="C639" i="64"/>
  <c r="D639" i="64"/>
  <c r="B640" i="64"/>
  <c r="C640" i="64"/>
  <c r="D640" i="64"/>
  <c r="B641" i="64"/>
  <c r="C641" i="64"/>
  <c r="D641" i="64"/>
  <c r="B642" i="64"/>
  <c r="C642" i="64"/>
  <c r="D642" i="64"/>
  <c r="B643" i="64"/>
  <c r="C643" i="64"/>
  <c r="D643" i="64"/>
  <c r="B644" i="64"/>
  <c r="C644" i="64"/>
  <c r="D644" i="64"/>
  <c r="B645" i="64"/>
  <c r="C645" i="64"/>
  <c r="D645" i="64"/>
  <c r="B646" i="64"/>
  <c r="C646" i="64"/>
  <c r="D646" i="64"/>
  <c r="B647" i="64"/>
  <c r="C647" i="64"/>
  <c r="D647" i="64"/>
  <c r="B648" i="64"/>
  <c r="C648" i="64"/>
  <c r="D648" i="64"/>
  <c r="B649" i="64"/>
  <c r="C649" i="64"/>
  <c r="D649" i="64"/>
  <c r="B650" i="64"/>
  <c r="C650" i="64"/>
  <c r="D650" i="64"/>
  <c r="B651" i="64"/>
  <c r="C651" i="64"/>
  <c r="D651" i="64"/>
  <c r="B652" i="64"/>
  <c r="C652" i="64"/>
  <c r="D652" i="64"/>
  <c r="B653" i="64"/>
  <c r="C653" i="64"/>
  <c r="D653" i="64"/>
  <c r="B654" i="64"/>
  <c r="C654" i="64"/>
  <c r="D654" i="64"/>
  <c r="B655" i="64"/>
  <c r="C655" i="64"/>
  <c r="D655" i="64"/>
  <c r="B656" i="64"/>
  <c r="C656" i="64"/>
  <c r="D656" i="64"/>
  <c r="B657" i="64"/>
  <c r="C657" i="64"/>
  <c r="D657" i="64"/>
  <c r="B658" i="64"/>
  <c r="C658" i="64"/>
  <c r="D658" i="64"/>
  <c r="B659" i="64"/>
  <c r="C659" i="64"/>
  <c r="D659" i="64"/>
  <c r="B660" i="64"/>
  <c r="C660" i="64"/>
  <c r="D660" i="64"/>
  <c r="B661" i="64"/>
  <c r="C661" i="64"/>
  <c r="D661" i="64"/>
  <c r="B662" i="64"/>
  <c r="C662" i="64"/>
  <c r="D662" i="64"/>
  <c r="B663" i="64"/>
  <c r="C663" i="64"/>
  <c r="D663" i="64"/>
  <c r="B664" i="64"/>
  <c r="C664" i="64"/>
  <c r="D664" i="64"/>
  <c r="B665" i="64"/>
  <c r="C665" i="64"/>
  <c r="D665" i="64"/>
  <c r="B666" i="64"/>
  <c r="C666" i="64"/>
  <c r="D666" i="64"/>
  <c r="B667" i="64"/>
  <c r="C667" i="64"/>
  <c r="D667" i="64"/>
  <c r="B668" i="64"/>
  <c r="C668" i="64"/>
  <c r="D668" i="64"/>
  <c r="B669" i="64"/>
  <c r="C669" i="64"/>
  <c r="D669" i="64"/>
  <c r="B670" i="64"/>
  <c r="C670" i="64"/>
  <c r="D670" i="64"/>
  <c r="B671" i="64"/>
  <c r="C671" i="64"/>
  <c r="D671" i="64"/>
  <c r="B672" i="64"/>
  <c r="C672" i="64"/>
  <c r="D672" i="64"/>
</calcChain>
</file>

<file path=xl/sharedStrings.xml><?xml version="1.0" encoding="utf-8"?>
<sst xmlns="http://schemas.openxmlformats.org/spreadsheetml/2006/main" count="1357" uniqueCount="42">
  <si>
    <t>Tanggal</t>
  </si>
  <si>
    <t>W</t>
  </si>
  <si>
    <t>N</t>
  </si>
  <si>
    <t>E</t>
  </si>
  <si>
    <t>SW</t>
  </si>
  <si>
    <t>NW</t>
  </si>
  <si>
    <t>S</t>
  </si>
  <si>
    <t>NE</t>
  </si>
  <si>
    <t>SE</t>
  </si>
  <si>
    <t>-</t>
  </si>
  <si>
    <t>TS</t>
  </si>
  <si>
    <t>RA</t>
  </si>
  <si>
    <t>TTU</t>
  </si>
  <si>
    <t>LIGHTNING</t>
  </si>
  <si>
    <t>100</t>
  </si>
  <si>
    <t/>
  </si>
  <si>
    <t xml:space="preserve"> </t>
  </si>
  <si>
    <t>SL / MOD TS NO HA + RA</t>
  </si>
  <si>
    <t>TS NO PREC</t>
  </si>
  <si>
    <t>C</t>
  </si>
  <si>
    <t>PREC IN SIGHT</t>
  </si>
  <si>
    <t>year</t>
  </si>
  <si>
    <t>month</t>
  </si>
  <si>
    <t>day</t>
  </si>
  <si>
    <t>T '07.00</t>
  </si>
  <si>
    <t>T '13.00</t>
  </si>
  <si>
    <t>T '18.00</t>
  </si>
  <si>
    <t>TRata2</t>
  </si>
  <si>
    <t>TMax</t>
  </si>
  <si>
    <t>TMin</t>
  </si>
  <si>
    <t>Curah Hujan (mm)</t>
  </si>
  <si>
    <t>SS (%)</t>
  </si>
  <si>
    <t>Cuaca</t>
  </si>
  <si>
    <t>Tekanan Udara (mb)</t>
  </si>
  <si>
    <t>RH07.00</t>
  </si>
  <si>
    <t>RH13.00</t>
  </si>
  <si>
    <t>RH18.00</t>
  </si>
  <si>
    <t>RHRata2</t>
  </si>
  <si>
    <t>Kec Rata2</t>
  </si>
  <si>
    <t>Arah Terbanyak</t>
  </si>
  <si>
    <t>Kec,Max</t>
  </si>
  <si>
    <t>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</si>
</sst>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(* #,##0.00_);_(* \(#,##0.00\);_(* &quot;-&quot;??_);_(@_)"/>
    <numFmt numFmtId="179" formatCode="0.0"/>
    <numFmt numFmtId="180" formatCode="_(* #,##0.0_);_(* \(#,##0.0\);_(* &quot;-&quot;??_);_(@_)"/>
    <numFmt numFmtId="183" formatCode="#,##0.0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</borders>
  <cellStyleXfs count="13">
    <xf numFmtId="0" fontId="0" fillId="0" borderId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3" fillId="0" borderId="0"/>
  </cellStyleXfs>
  <cellXfs count="105">
    <xf numFmtId="0" fontId="0" fillId="0" borderId="0" xfId="0"/>
    <xf numFmtId="179" fontId="0" fillId="0" borderId="0" xfId="0" applyNumberFormat="1"/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80" fontId="2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0" xfId="0" applyFont="1"/>
    <xf numFmtId="179" fontId="2" fillId="0" borderId="1" xfId="1" applyNumberFormat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9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80" fontId="2" fillId="0" borderId="2" xfId="1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79" fontId="2" fillId="0" borderId="1" xfId="0" quotePrefix="1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79" fontId="2" fillId="0" borderId="1" xfId="0" applyNumberFormat="1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17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79" fontId="2" fillId="2" borderId="1" xfId="7" applyNumberFormat="1" applyFont="1" applyFill="1" applyBorder="1" applyAlignment="1">
      <alignment horizontal="center" vertical="center"/>
    </xf>
    <xf numFmtId="179" fontId="2" fillId="2" borderId="1" xfId="7" quotePrefix="1" applyNumberFormat="1" applyFont="1" applyFill="1" applyBorder="1" applyAlignment="1">
      <alignment horizontal="center" vertical="center"/>
    </xf>
    <xf numFmtId="1" fontId="2" fillId="2" borderId="1" xfId="7" quotePrefix="1" applyNumberFormat="1" applyFont="1" applyFill="1" applyBorder="1" applyAlignment="1">
      <alignment horizontal="center" vertical="center"/>
    </xf>
    <xf numFmtId="179" fontId="2" fillId="2" borderId="1" xfId="7" applyNumberFormat="1" applyFont="1" applyFill="1" applyBorder="1" applyAlignment="1">
      <alignment horizontal="center"/>
    </xf>
    <xf numFmtId="1" fontId="2" fillId="2" borderId="1" xfId="7" applyNumberFormat="1" applyFont="1" applyFill="1" applyBorder="1" applyAlignment="1">
      <alignment horizontal="center"/>
    </xf>
    <xf numFmtId="1" fontId="2" fillId="2" borderId="1" xfId="7" quotePrefix="1" applyNumberFormat="1" applyFont="1" applyFill="1" applyBorder="1" applyAlignment="1">
      <alignment horizontal="center"/>
    </xf>
    <xf numFmtId="0" fontId="2" fillId="2" borderId="1" xfId="7" quotePrefix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79" fontId="2" fillId="0" borderId="3" xfId="1" applyNumberFormat="1" applyFont="1" applyBorder="1" applyAlignment="1">
      <alignment horizontal="center" vertical="center"/>
    </xf>
    <xf numFmtId="1" fontId="2" fillId="2" borderId="4" xfId="7" quotePrefix="1" applyNumberFormat="1" applyFont="1" applyFill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79" fontId="2" fillId="2" borderId="1" xfId="0" applyNumberFormat="1" applyFont="1" applyFill="1" applyBorder="1" applyAlignment="1">
      <alignment horizontal="center"/>
    </xf>
    <xf numFmtId="179" fontId="2" fillId="2" borderId="1" xfId="0" quotePrefix="1" applyNumberFormat="1" applyFont="1" applyFill="1" applyBorder="1" applyAlignment="1">
      <alignment horizontal="center" vertical="center"/>
    </xf>
    <xf numFmtId="1" fontId="2" fillId="2" borderId="1" xfId="0" quotePrefix="1" applyNumberFormat="1" applyFont="1" applyFill="1" applyBorder="1" applyAlignment="1">
      <alignment horizontal="center" vertical="center"/>
    </xf>
    <xf numFmtId="179" fontId="2" fillId="2" borderId="4" xfId="0" quotePrefix="1" applyNumberFormat="1" applyFont="1" applyFill="1" applyBorder="1" applyAlignment="1">
      <alignment horizontal="center" vertical="center"/>
    </xf>
    <xf numFmtId="1" fontId="5" fillId="2" borderId="1" xfId="0" quotePrefix="1" applyNumberFormat="1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" fontId="5" fillId="2" borderId="1" xfId="0" applyNumberFormat="1" applyFont="1" applyFill="1" applyBorder="1" applyAlignment="1">
      <alignment horizontal="center" vertical="center"/>
    </xf>
    <xf numFmtId="1" fontId="2" fillId="2" borderId="1" xfId="0" quotePrefix="1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79" fontId="6" fillId="2" borderId="1" xfId="0" quotePrefix="1" applyNumberFormat="1" applyFont="1" applyFill="1" applyBorder="1" applyAlignment="1">
      <alignment horizontal="center" vertical="center"/>
    </xf>
    <xf numFmtId="1" fontId="6" fillId="2" borderId="1" xfId="0" quotePrefix="1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0" xfId="0" applyFill="1"/>
    <xf numFmtId="0" fontId="6" fillId="0" borderId="1" xfId="1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9" fontId="2" fillId="0" borderId="5" xfId="1" applyNumberFormat="1" applyFont="1" applyBorder="1" applyAlignment="1">
      <alignment horizontal="center" vertical="center"/>
    </xf>
    <xf numFmtId="1" fontId="2" fillId="2" borderId="1" xfId="3" applyNumberFormat="1" applyFont="1" applyFill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179" fontId="2" fillId="2" borderId="1" xfId="3" applyNumberFormat="1" applyFont="1" applyFill="1" applyBorder="1" applyAlignment="1">
      <alignment horizontal="center" vertical="center"/>
    </xf>
    <xf numFmtId="179" fontId="2" fillId="2" borderId="1" xfId="3" quotePrefix="1" applyNumberFormat="1" applyFont="1" applyFill="1" applyBorder="1" applyAlignment="1">
      <alignment horizontal="center" vertical="center"/>
    </xf>
    <xf numFmtId="1" fontId="2" fillId="2" borderId="1" xfId="3" quotePrefix="1" applyNumberFormat="1" applyFont="1" applyFill="1" applyBorder="1" applyAlignment="1">
      <alignment horizontal="center" vertical="center"/>
    </xf>
    <xf numFmtId="1" fontId="5" fillId="2" borderId="1" xfId="4" applyNumberFormat="1" applyFont="1" applyFill="1" applyBorder="1" applyAlignment="1">
      <alignment horizontal="center" vertical="center"/>
    </xf>
    <xf numFmtId="179" fontId="2" fillId="2" borderId="1" xfId="3" applyNumberFormat="1" applyFont="1" applyFill="1" applyBorder="1" applyAlignment="1">
      <alignment horizontal="center"/>
    </xf>
    <xf numFmtId="1" fontId="2" fillId="2" borderId="1" xfId="3" quotePrefix="1" applyNumberFormat="1" applyFont="1" applyFill="1" applyBorder="1" applyAlignment="1">
      <alignment horizontal="center"/>
    </xf>
    <xf numFmtId="0" fontId="2" fillId="2" borderId="1" xfId="3" quotePrefix="1" applyFont="1" applyFill="1" applyBorder="1" applyAlignment="1">
      <alignment horizontal="center"/>
    </xf>
    <xf numFmtId="0" fontId="2" fillId="2" borderId="4" xfId="3" quotePrefix="1" applyFont="1" applyFill="1" applyBorder="1" applyAlignment="1">
      <alignment horizontal="center"/>
    </xf>
    <xf numFmtId="0" fontId="4" fillId="2" borderId="4" xfId="3" quotePrefix="1" applyFont="1" applyFill="1" applyBorder="1" applyAlignment="1">
      <alignment horizontal="center"/>
    </xf>
    <xf numFmtId="179" fontId="2" fillId="2" borderId="1" xfId="4" applyNumberFormat="1" applyFont="1" applyFill="1" applyBorder="1" applyAlignment="1">
      <alignment horizontal="center" vertical="center"/>
    </xf>
    <xf numFmtId="0" fontId="4" fillId="2" borderId="4" xfId="7" quotePrefix="1" applyFont="1" applyFill="1" applyBorder="1" applyAlignment="1">
      <alignment horizontal="center"/>
    </xf>
    <xf numFmtId="0" fontId="2" fillId="2" borderId="4" xfId="7" quotePrefix="1" applyFont="1" applyFill="1" applyBorder="1" applyAlignment="1">
      <alignment horizontal="center"/>
    </xf>
    <xf numFmtId="179" fontId="4" fillId="2" borderId="1" xfId="7" quotePrefix="1" applyNumberFormat="1" applyFont="1" applyFill="1" applyBorder="1" applyAlignment="1">
      <alignment horizontal="center" vertical="center"/>
    </xf>
    <xf numFmtId="179" fontId="2" fillId="2" borderId="1" xfId="5" applyNumberFormat="1" applyFont="1" applyFill="1" applyBorder="1" applyAlignment="1">
      <alignment horizontal="center" vertical="center"/>
    </xf>
    <xf numFmtId="1" fontId="2" fillId="2" borderId="4" xfId="7" applyNumberFormat="1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4" xfId="0" quotePrefix="1" applyNumberFormat="1" applyFont="1" applyBorder="1" applyAlignment="1">
      <alignment horizontal="center"/>
    </xf>
    <xf numFmtId="1" fontId="4" fillId="2" borderId="1" xfId="0" quotePrefix="1" applyNumberFormat="1" applyFont="1" applyFill="1" applyBorder="1" applyAlignment="1">
      <alignment horizontal="center"/>
    </xf>
    <xf numFmtId="179" fontId="2" fillId="0" borderId="4" xfId="1" applyNumberFormat="1" applyFont="1" applyBorder="1" applyAlignment="1">
      <alignment horizontal="center" vertical="center"/>
    </xf>
    <xf numFmtId="179" fontId="5" fillId="2" borderId="1" xfId="0" quotePrefix="1" applyNumberFormat="1" applyFont="1" applyFill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0" fontId="3" fillId="0" borderId="0" xfId="12" applyAlignment="1">
      <alignment horizontal="center"/>
    </xf>
    <xf numFmtId="1" fontId="2" fillId="0" borderId="1" xfId="7" quotePrefix="1" applyNumberFormat="1" applyFont="1" applyFill="1" applyBorder="1" applyAlignment="1">
      <alignment horizontal="center"/>
    </xf>
    <xf numFmtId="0" fontId="2" fillId="0" borderId="1" xfId="7" quotePrefix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4" xfId="0" quotePrefix="1" applyNumberFormat="1" applyFont="1" applyFill="1" applyBorder="1" applyAlignment="1">
      <alignment horizontal="center" vertical="center"/>
    </xf>
    <xf numFmtId="1" fontId="4" fillId="2" borderId="1" xfId="3" quotePrefix="1" applyNumberFormat="1" applyFont="1" applyFill="1" applyBorder="1" applyAlignment="1">
      <alignment horizontal="center"/>
    </xf>
    <xf numFmtId="1" fontId="4" fillId="2" borderId="1" xfId="7" quotePrefix="1" applyNumberFormat="1" applyFont="1" applyFill="1" applyBorder="1" applyAlignment="1">
      <alignment horizontal="center"/>
    </xf>
    <xf numFmtId="179" fontId="5" fillId="2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center" vertical="center"/>
    </xf>
    <xf numFmtId="0" fontId="2" fillId="2" borderId="1" xfId="3" quotePrefix="1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0" borderId="3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0" fontId="7" fillId="0" borderId="6" xfId="12" applyFont="1" applyBorder="1" applyAlignment="1">
      <alignment horizontal="center" vertical="center" wrapText="1"/>
    </xf>
    <xf numFmtId="183" fontId="7" fillId="0" borderId="6" xfId="12" applyNumberFormat="1" applyFont="1" applyBorder="1" applyAlignment="1">
      <alignment horizontal="center" vertical="center" wrapText="1"/>
    </xf>
    <xf numFmtId="0" fontId="7" fillId="0" borderId="7" xfId="12" applyFont="1" applyBorder="1" applyAlignment="1">
      <alignment horizontal="center" vertical="center" wrapText="1"/>
    </xf>
    <xf numFmtId="183" fontId="7" fillId="0" borderId="7" xfId="12" applyNumberFormat="1" applyFont="1" applyBorder="1" applyAlignment="1">
      <alignment horizontal="center" vertical="center" wrapText="1"/>
    </xf>
    <xf numFmtId="0" fontId="8" fillId="0" borderId="6" xfId="12" applyFont="1" applyBorder="1" applyAlignment="1">
      <alignment horizontal="center" vertical="center" wrapText="1"/>
    </xf>
  </cellXfs>
  <cellStyles count="13">
    <cellStyle name="Comma" xfId="1" builtinId="3"/>
    <cellStyle name="Comma 2" xfId="2"/>
    <cellStyle name="Normal" xfId="0" builtinId="0"/>
    <cellStyle name="Normal 10" xfId="3"/>
    <cellStyle name="Normal 11" xfId="4"/>
    <cellStyle name="Normal 12" xfId="5"/>
    <cellStyle name="Normal 2" xfId="6"/>
    <cellStyle name="Normal 3" xfId="7"/>
    <cellStyle name="Normal 4" xfId="8"/>
    <cellStyle name="Normal 6" xfId="9"/>
    <cellStyle name="Normal 8" xfId="10"/>
    <cellStyle name="Normal 9" xfId="11"/>
    <cellStyle name="Normal_Sheet1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V3650"/>
  <sheetViews>
    <sheetView tabSelected="1" topLeftCell="E1" workbookViewId="0"/>
  </sheetViews>
  <sheetFormatPr defaultRowHeight="14.5" x14ac:dyDescent="0.35"/>
  <cols>
    <col min="1" max="1" width="11.36328125" bestFit="1" customWidth="1"/>
    <col min="2" max="12" width="9.36328125" bestFit="1" customWidth="1"/>
    <col min="13" max="13" width="12.6328125" customWidth="1"/>
    <col min="14" max="14" width="10.36328125" bestFit="1" customWidth="1"/>
    <col min="15" max="18" width="9.36328125" bestFit="1" customWidth="1"/>
    <col min="19" max="19" width="9.36328125" style="1" bestFit="1" customWidth="1"/>
    <col min="21" max="22" width="9.36328125" bestFit="1" customWidth="1"/>
  </cols>
  <sheetData>
    <row r="1" spans="1:22" ht="21" x14ac:dyDescent="0.35">
      <c r="A1" s="100" t="s">
        <v>0</v>
      </c>
      <c r="B1" s="100" t="s">
        <v>21</v>
      </c>
      <c r="C1" s="100" t="s">
        <v>22</v>
      </c>
      <c r="D1" s="100" t="s">
        <v>23</v>
      </c>
      <c r="E1" s="101" t="s">
        <v>24</v>
      </c>
      <c r="F1" s="101" t="s">
        <v>25</v>
      </c>
      <c r="G1" s="101" t="s">
        <v>26</v>
      </c>
      <c r="H1" s="101" t="s">
        <v>27</v>
      </c>
      <c r="I1" s="101" t="s">
        <v>28</v>
      </c>
      <c r="J1" s="101" t="s">
        <v>29</v>
      </c>
      <c r="K1" s="101" t="s">
        <v>30</v>
      </c>
      <c r="L1" s="100" t="s">
        <v>31</v>
      </c>
      <c r="M1" s="102" t="s">
        <v>32</v>
      </c>
      <c r="N1" s="103" t="s">
        <v>33</v>
      </c>
      <c r="O1" s="100" t="s">
        <v>34</v>
      </c>
      <c r="P1" s="100" t="s">
        <v>35</v>
      </c>
      <c r="Q1" s="100" t="s">
        <v>36</v>
      </c>
      <c r="R1" s="100" t="s">
        <v>37</v>
      </c>
      <c r="S1" s="100" t="s">
        <v>38</v>
      </c>
      <c r="T1" s="100" t="s">
        <v>39</v>
      </c>
      <c r="U1" s="104" t="s">
        <v>40</v>
      </c>
      <c r="V1" s="104" t="s">
        <v>41</v>
      </c>
    </row>
    <row r="2" spans="1:22" s="53" customFormat="1" x14ac:dyDescent="0.35">
      <c r="A2" s="2">
        <v>42583</v>
      </c>
      <c r="B2" s="3">
        <f t="shared" ref="B2:B20" si="0">YEAR(A2)</f>
        <v>2016</v>
      </c>
      <c r="C2" s="3">
        <f t="shared" ref="C2:C20" si="1">MONTH(A2)</f>
        <v>8</v>
      </c>
      <c r="D2" s="3">
        <f t="shared" ref="D2:D20" si="2">DAY(A2)</f>
        <v>1</v>
      </c>
      <c r="E2" s="13" t="e">
        <v>#REF!</v>
      </c>
      <c r="F2" s="13">
        <v>30.5</v>
      </c>
      <c r="G2" s="13">
        <v>28.8</v>
      </c>
      <c r="H2" s="34" t="e">
        <v>#REF!</v>
      </c>
      <c r="I2" s="48">
        <v>30.8</v>
      </c>
      <c r="J2" s="48" t="e">
        <v>#REF!</v>
      </c>
      <c r="K2" s="49">
        <v>4.8</v>
      </c>
      <c r="L2" s="49">
        <v>0</v>
      </c>
      <c r="M2"/>
      <c r="N2" s="38" t="e">
        <v>#REF!</v>
      </c>
      <c r="O2" s="8">
        <v>100</v>
      </c>
      <c r="P2" s="8">
        <v>63.690777061662928</v>
      </c>
      <c r="Q2" s="8">
        <v>70.973394539131789</v>
      </c>
      <c r="R2" s="8">
        <v>83.666042900198676</v>
      </c>
      <c r="S2" s="50">
        <v>5.083333333333333</v>
      </c>
      <c r="T2" s="54">
        <v>50</v>
      </c>
      <c r="U2" s="20">
        <v>7</v>
      </c>
      <c r="V2" s="12">
        <v>0</v>
      </c>
    </row>
    <row r="3" spans="1:22" s="53" customFormat="1" x14ac:dyDescent="0.35">
      <c r="A3" s="2">
        <v>42584</v>
      </c>
      <c r="B3" s="3">
        <f t="shared" si="0"/>
        <v>2016</v>
      </c>
      <c r="C3" s="3">
        <f t="shared" si="1"/>
        <v>8</v>
      </c>
      <c r="D3" s="3">
        <f t="shared" si="2"/>
        <v>2</v>
      </c>
      <c r="E3" s="13">
        <v>24</v>
      </c>
      <c r="F3" s="13">
        <v>29.7</v>
      </c>
      <c r="G3" s="13">
        <v>29.2</v>
      </c>
      <c r="H3" s="34">
        <v>26.725000000000001</v>
      </c>
      <c r="I3" s="48">
        <v>30.6</v>
      </c>
      <c r="J3" s="48">
        <v>23.8</v>
      </c>
      <c r="K3" s="49" t="s">
        <v>9</v>
      </c>
      <c r="L3" s="49">
        <v>0</v>
      </c>
      <c r="M3"/>
      <c r="N3" s="38">
        <v>1009.2125</v>
      </c>
      <c r="O3" s="8">
        <v>83.236048434574855</v>
      </c>
      <c r="P3" s="8">
        <v>63.106980925705038</v>
      </c>
      <c r="Q3" s="8">
        <v>63.380092737940018</v>
      </c>
      <c r="R3" s="8">
        <v>73.239792633198689</v>
      </c>
      <c r="S3" s="50">
        <v>5.333333333333333</v>
      </c>
      <c r="T3" s="54">
        <v>200</v>
      </c>
      <c r="U3" s="20">
        <v>12</v>
      </c>
      <c r="V3" s="12">
        <v>0</v>
      </c>
    </row>
    <row r="4" spans="1:22" s="53" customFormat="1" x14ac:dyDescent="0.35">
      <c r="A4" s="2">
        <v>42585</v>
      </c>
      <c r="B4" s="3">
        <f t="shared" si="0"/>
        <v>2016</v>
      </c>
      <c r="C4" s="3">
        <f t="shared" si="1"/>
        <v>8</v>
      </c>
      <c r="D4" s="3">
        <f t="shared" si="2"/>
        <v>3</v>
      </c>
      <c r="E4" s="13">
        <v>23.8</v>
      </c>
      <c r="F4" s="13">
        <v>31</v>
      </c>
      <c r="G4" s="13">
        <v>29.4</v>
      </c>
      <c r="H4" s="34">
        <v>27</v>
      </c>
      <c r="I4" s="48">
        <v>33</v>
      </c>
      <c r="J4" s="48">
        <v>23.8</v>
      </c>
      <c r="K4" s="49">
        <v>0</v>
      </c>
      <c r="L4" s="49">
        <v>100</v>
      </c>
      <c r="M4"/>
      <c r="N4" s="38">
        <v>1009.2875</v>
      </c>
      <c r="O4" s="8">
        <v>83.155194499157176</v>
      </c>
      <c r="P4" s="8">
        <v>61.014176596921011</v>
      </c>
      <c r="Q4" s="8">
        <v>70.009062786643597</v>
      </c>
      <c r="R4" s="8">
        <v>74.333407095469738</v>
      </c>
      <c r="S4" s="50">
        <v>5.3</v>
      </c>
      <c r="T4" s="54">
        <v>190</v>
      </c>
      <c r="U4" s="20">
        <v>10</v>
      </c>
      <c r="V4" s="12">
        <v>0</v>
      </c>
    </row>
    <row r="5" spans="1:22" s="53" customFormat="1" x14ac:dyDescent="0.35">
      <c r="A5" s="2">
        <v>42586</v>
      </c>
      <c r="B5" s="3">
        <f t="shared" si="0"/>
        <v>2016</v>
      </c>
      <c r="C5" s="3">
        <f t="shared" si="1"/>
        <v>8</v>
      </c>
      <c r="D5" s="3">
        <f t="shared" si="2"/>
        <v>4</v>
      </c>
      <c r="E5" s="13">
        <v>24.3</v>
      </c>
      <c r="F5" s="13">
        <v>31.2</v>
      </c>
      <c r="G5" s="13">
        <v>29.2</v>
      </c>
      <c r="H5" s="34">
        <v>27.25</v>
      </c>
      <c r="I5" s="48">
        <v>31.2</v>
      </c>
      <c r="J5" s="48">
        <v>24.3</v>
      </c>
      <c r="K5" s="49">
        <v>0</v>
      </c>
      <c r="L5" s="49">
        <v>100</v>
      </c>
      <c r="M5"/>
      <c r="N5" s="38">
        <v>1010.1583333333334</v>
      </c>
      <c r="O5" s="8">
        <v>89.867480775931099</v>
      </c>
      <c r="P5" s="8">
        <v>67.277828409215019</v>
      </c>
      <c r="Q5" s="8">
        <v>75.943509510135584</v>
      </c>
      <c r="R5" s="8">
        <v>80.739074867803197</v>
      </c>
      <c r="S5" s="50">
        <v>6.4444444444444446</v>
      </c>
      <c r="T5" s="54">
        <v>70</v>
      </c>
      <c r="U5" s="20">
        <v>10</v>
      </c>
      <c r="V5" s="12">
        <v>0</v>
      </c>
    </row>
    <row r="6" spans="1:22" s="53" customFormat="1" x14ac:dyDescent="0.35">
      <c r="A6" s="2">
        <v>42587</v>
      </c>
      <c r="B6" s="3">
        <f t="shared" si="0"/>
        <v>2016</v>
      </c>
      <c r="C6" s="3">
        <f t="shared" si="1"/>
        <v>8</v>
      </c>
      <c r="D6" s="3">
        <f t="shared" si="2"/>
        <v>5</v>
      </c>
      <c r="E6" s="13">
        <v>26</v>
      </c>
      <c r="F6" s="13">
        <v>30.8</v>
      </c>
      <c r="G6" s="13">
        <v>29</v>
      </c>
      <c r="H6" s="34">
        <v>27.95</v>
      </c>
      <c r="I6" s="48">
        <v>31.2</v>
      </c>
      <c r="J6" s="48">
        <v>24.8</v>
      </c>
      <c r="K6" s="49" t="s">
        <v>9</v>
      </c>
      <c r="L6" s="49">
        <v>100</v>
      </c>
      <c r="M6"/>
      <c r="N6" s="38">
        <v>1010.7137499999998</v>
      </c>
      <c r="O6" s="8">
        <v>86.321403032494246</v>
      </c>
      <c r="P6" s="8">
        <v>70.819750697967038</v>
      </c>
      <c r="Q6" s="8">
        <v>76.532693433755583</v>
      </c>
      <c r="R6" s="8">
        <v>79.998812549177785</v>
      </c>
      <c r="S6" s="50">
        <v>5.75</v>
      </c>
      <c r="T6" s="54">
        <v>90</v>
      </c>
      <c r="U6" s="20">
        <v>10</v>
      </c>
      <c r="V6" s="12">
        <v>0</v>
      </c>
    </row>
    <row r="7" spans="1:22" s="53" customFormat="1" x14ac:dyDescent="0.35">
      <c r="A7" s="2">
        <v>42588</v>
      </c>
      <c r="B7" s="3">
        <f t="shared" si="0"/>
        <v>2016</v>
      </c>
      <c r="C7" s="3">
        <f t="shared" si="1"/>
        <v>8</v>
      </c>
      <c r="D7" s="3">
        <f t="shared" si="2"/>
        <v>6</v>
      </c>
      <c r="E7" s="13">
        <v>24.8</v>
      </c>
      <c r="F7" s="13">
        <v>30.8</v>
      </c>
      <c r="G7" s="13">
        <v>29.2</v>
      </c>
      <c r="H7" s="34">
        <v>27.400000000000002</v>
      </c>
      <c r="I7" s="48">
        <v>31.2</v>
      </c>
      <c r="J7" s="48">
        <v>22.9</v>
      </c>
      <c r="K7" s="49">
        <v>61.6</v>
      </c>
      <c r="L7" s="49">
        <v>100</v>
      </c>
      <c r="M7"/>
      <c r="N7" s="38">
        <v>1010.7000000000002</v>
      </c>
      <c r="O7" s="8">
        <v>94.937730593138355</v>
      </c>
      <c r="P7" s="8">
        <v>69.54048551815913</v>
      </c>
      <c r="Q7" s="8">
        <v>75.2626521469669</v>
      </c>
      <c r="R7" s="8">
        <v>83.669649712850685</v>
      </c>
      <c r="S7" s="50">
        <v>6.6111111111111107</v>
      </c>
      <c r="T7" s="54">
        <v>40</v>
      </c>
      <c r="U7" s="20">
        <v>11</v>
      </c>
      <c r="V7" s="12">
        <v>0</v>
      </c>
    </row>
    <row r="8" spans="1:22" s="53" customFormat="1" x14ac:dyDescent="0.35">
      <c r="A8" s="2">
        <v>42589</v>
      </c>
      <c r="B8" s="3">
        <f t="shared" si="0"/>
        <v>2016</v>
      </c>
      <c r="C8" s="3">
        <f t="shared" si="1"/>
        <v>8</v>
      </c>
      <c r="D8" s="3">
        <f t="shared" si="2"/>
        <v>7</v>
      </c>
      <c r="E8" s="13">
        <v>23.8</v>
      </c>
      <c r="F8" s="13">
        <v>28.4</v>
      </c>
      <c r="G8" s="13">
        <v>29.2</v>
      </c>
      <c r="H8" s="34">
        <v>26.3</v>
      </c>
      <c r="I8" s="48">
        <v>30.2</v>
      </c>
      <c r="J8" s="48">
        <v>23.8</v>
      </c>
      <c r="K8" s="49" t="s">
        <v>9</v>
      </c>
      <c r="L8" s="49">
        <v>32.5</v>
      </c>
      <c r="M8"/>
      <c r="N8" s="38">
        <v>1011.2083333333335</v>
      </c>
      <c r="O8" s="8">
        <v>96.532032296247777</v>
      </c>
      <c r="P8" s="8">
        <v>84.082427528746223</v>
      </c>
      <c r="Q8" s="8">
        <v>72.543021212943088</v>
      </c>
      <c r="R8" s="8">
        <v>87.422378333546206</v>
      </c>
      <c r="S8" s="50">
        <v>5.1904761904761907</v>
      </c>
      <c r="T8" s="54">
        <v>80</v>
      </c>
      <c r="U8" s="20">
        <v>11</v>
      </c>
      <c r="V8" s="12">
        <v>0</v>
      </c>
    </row>
    <row r="9" spans="1:22" s="53" customFormat="1" x14ac:dyDescent="0.35">
      <c r="A9" s="2">
        <v>42590</v>
      </c>
      <c r="B9" s="3">
        <f t="shared" si="0"/>
        <v>2016</v>
      </c>
      <c r="C9" s="3">
        <f t="shared" si="1"/>
        <v>8</v>
      </c>
      <c r="D9" s="3">
        <f t="shared" si="2"/>
        <v>8</v>
      </c>
      <c r="E9" s="13">
        <v>25</v>
      </c>
      <c r="F9" s="13">
        <v>30.6</v>
      </c>
      <c r="G9" s="13">
        <v>29</v>
      </c>
      <c r="H9" s="34">
        <v>27.4</v>
      </c>
      <c r="I9" s="48">
        <v>35.4</v>
      </c>
      <c r="J9" s="48">
        <v>25</v>
      </c>
      <c r="K9" s="40">
        <v>5</v>
      </c>
      <c r="L9" s="49">
        <v>95</v>
      </c>
      <c r="M9"/>
      <c r="N9" s="38">
        <v>1011.2333333333332</v>
      </c>
      <c r="O9" s="8">
        <v>93.305505855804384</v>
      </c>
      <c r="P9" s="8">
        <v>74.613954435913612</v>
      </c>
      <c r="Q9" s="8">
        <v>76.53015466032906</v>
      </c>
      <c r="R9" s="8">
        <v>84.438780201962857</v>
      </c>
      <c r="S9" s="50">
        <v>5.5789473684210522</v>
      </c>
      <c r="T9" s="54">
        <v>70</v>
      </c>
      <c r="U9" s="20">
        <v>9</v>
      </c>
      <c r="V9" s="12">
        <v>0</v>
      </c>
    </row>
    <row r="10" spans="1:22" s="53" customFormat="1" x14ac:dyDescent="0.35">
      <c r="A10" s="2">
        <v>42591</v>
      </c>
      <c r="B10" s="3">
        <f t="shared" si="0"/>
        <v>2016</v>
      </c>
      <c r="C10" s="3">
        <f t="shared" si="1"/>
        <v>8</v>
      </c>
      <c r="D10" s="3">
        <f t="shared" si="2"/>
        <v>9</v>
      </c>
      <c r="E10" s="13">
        <v>25.8</v>
      </c>
      <c r="F10" s="13">
        <v>30.4</v>
      </c>
      <c r="G10" s="13">
        <v>29</v>
      </c>
      <c r="H10" s="34">
        <v>27.75</v>
      </c>
      <c r="I10" s="48">
        <v>30.9</v>
      </c>
      <c r="J10" s="48">
        <v>23.4</v>
      </c>
      <c r="K10" s="49" t="s">
        <v>9</v>
      </c>
      <c r="L10" s="49">
        <v>100</v>
      </c>
      <c r="M10"/>
      <c r="N10" s="38">
        <v>1011.0083333333332</v>
      </c>
      <c r="O10" s="8">
        <v>91.813377227755112</v>
      </c>
      <c r="P10" s="8">
        <v>71.889895667793468</v>
      </c>
      <c r="Q10" s="8">
        <v>76.530789353685691</v>
      </c>
      <c r="R10" s="8">
        <v>83.011859869247346</v>
      </c>
      <c r="S10" s="50">
        <v>5.3913043478260869</v>
      </c>
      <c r="T10" s="54">
        <v>60</v>
      </c>
      <c r="U10" s="20">
        <v>9</v>
      </c>
      <c r="V10" s="12">
        <v>0</v>
      </c>
    </row>
    <row r="11" spans="1:22" s="53" customFormat="1" x14ac:dyDescent="0.35">
      <c r="A11" s="2">
        <v>42592</v>
      </c>
      <c r="B11" s="3">
        <f t="shared" si="0"/>
        <v>2016</v>
      </c>
      <c r="C11" s="3">
        <f t="shared" si="1"/>
        <v>8</v>
      </c>
      <c r="D11" s="3">
        <f t="shared" si="2"/>
        <v>10</v>
      </c>
      <c r="E11" s="13">
        <v>23.8</v>
      </c>
      <c r="F11" s="13">
        <v>30.5</v>
      </c>
      <c r="G11" s="13">
        <v>29</v>
      </c>
      <c r="H11" s="34">
        <v>26.774999999999999</v>
      </c>
      <c r="I11" s="48">
        <v>30.8</v>
      </c>
      <c r="J11" s="48">
        <v>23.2</v>
      </c>
      <c r="K11" s="49">
        <v>0.5</v>
      </c>
      <c r="L11" s="49">
        <v>100</v>
      </c>
      <c r="M11"/>
      <c r="N11" s="38">
        <v>1011.225</v>
      </c>
      <c r="O11" s="8">
        <v>93.109962412177339</v>
      </c>
      <c r="P11" s="8">
        <v>70.004051036465782</v>
      </c>
      <c r="Q11" s="8">
        <v>77.224236235620936</v>
      </c>
      <c r="R11" s="8">
        <v>83.362053024110352</v>
      </c>
      <c r="S11" s="50">
        <v>4.3499999999999996</v>
      </c>
      <c r="T11" s="54">
        <v>40</v>
      </c>
      <c r="U11" s="20">
        <v>10</v>
      </c>
      <c r="V11" s="12">
        <v>0</v>
      </c>
    </row>
    <row r="12" spans="1:22" s="53" customFormat="1" x14ac:dyDescent="0.35">
      <c r="A12" s="2">
        <v>42593</v>
      </c>
      <c r="B12" s="3">
        <f t="shared" si="0"/>
        <v>2016</v>
      </c>
      <c r="C12" s="3">
        <f t="shared" si="1"/>
        <v>8</v>
      </c>
      <c r="D12" s="3">
        <f t="shared" si="2"/>
        <v>11</v>
      </c>
      <c r="E12" s="13">
        <v>23.2</v>
      </c>
      <c r="F12" s="13">
        <v>31.4</v>
      </c>
      <c r="G12" s="13">
        <v>29.8</v>
      </c>
      <c r="H12" s="34">
        <v>26.9</v>
      </c>
      <c r="I12" s="48">
        <v>31.4</v>
      </c>
      <c r="J12" s="48">
        <v>23.2</v>
      </c>
      <c r="K12" s="49" t="s">
        <v>9</v>
      </c>
      <c r="L12" s="49">
        <v>100</v>
      </c>
      <c r="M12"/>
      <c r="N12" s="38">
        <v>1011.5083333333333</v>
      </c>
      <c r="O12" s="8">
        <v>91.292120222169544</v>
      </c>
      <c r="P12" s="8">
        <v>58.929211945311664</v>
      </c>
      <c r="Q12" s="8">
        <v>68.933878815993722</v>
      </c>
      <c r="R12" s="8">
        <v>77.611832801411111</v>
      </c>
      <c r="S12" s="50">
        <v>3.5416666666666665</v>
      </c>
      <c r="T12" s="54">
        <v>190</v>
      </c>
      <c r="U12" s="20">
        <v>7</v>
      </c>
      <c r="V12" s="12">
        <v>0</v>
      </c>
    </row>
    <row r="13" spans="1:22" s="53" customFormat="1" x14ac:dyDescent="0.35">
      <c r="A13" s="2">
        <v>42594</v>
      </c>
      <c r="B13" s="3">
        <f t="shared" si="0"/>
        <v>2016</v>
      </c>
      <c r="C13" s="3">
        <f t="shared" si="1"/>
        <v>8</v>
      </c>
      <c r="D13" s="3">
        <f t="shared" si="2"/>
        <v>12</v>
      </c>
      <c r="E13" s="13">
        <v>24.6</v>
      </c>
      <c r="F13" s="13">
        <v>31.6</v>
      </c>
      <c r="G13" s="13">
        <v>29.5</v>
      </c>
      <c r="H13" s="34">
        <v>27.575000000000003</v>
      </c>
      <c r="I13" s="48">
        <v>31.8</v>
      </c>
      <c r="J13" s="48">
        <v>24.6</v>
      </c>
      <c r="K13" s="49">
        <v>5</v>
      </c>
      <c r="L13" s="49">
        <v>100</v>
      </c>
      <c r="M13"/>
      <c r="N13" s="38">
        <v>1011.0375</v>
      </c>
      <c r="O13" s="8">
        <v>88.298281128530462</v>
      </c>
      <c r="P13" s="8">
        <v>67.526094155544996</v>
      </c>
      <c r="Q13" s="8">
        <v>77.457413790318981</v>
      </c>
      <c r="R13" s="8">
        <v>80.395017550731225</v>
      </c>
      <c r="S13" s="50">
        <v>4.25</v>
      </c>
      <c r="T13" s="54">
        <v>90</v>
      </c>
      <c r="U13" s="20">
        <v>8</v>
      </c>
      <c r="V13" s="12">
        <v>0</v>
      </c>
    </row>
    <row r="14" spans="1:22" s="53" customFormat="1" x14ac:dyDescent="0.35">
      <c r="A14" s="2">
        <v>42595</v>
      </c>
      <c r="B14" s="3">
        <f t="shared" si="0"/>
        <v>2016</v>
      </c>
      <c r="C14" s="3">
        <f t="shared" si="1"/>
        <v>8</v>
      </c>
      <c r="D14" s="3">
        <f t="shared" si="2"/>
        <v>13</v>
      </c>
      <c r="E14" s="13">
        <v>24.8</v>
      </c>
      <c r="F14" s="13">
        <v>29.6</v>
      </c>
      <c r="G14" s="13">
        <v>29</v>
      </c>
      <c r="H14" s="34">
        <v>27.05</v>
      </c>
      <c r="I14" s="48">
        <v>30</v>
      </c>
      <c r="J14" s="48">
        <v>24.8</v>
      </c>
      <c r="K14" s="49">
        <v>5.4</v>
      </c>
      <c r="L14" s="49">
        <v>62.5</v>
      </c>
      <c r="M14"/>
      <c r="N14" s="38">
        <v>1010.5749999999999</v>
      </c>
      <c r="O14" s="8">
        <v>94.938187451632132</v>
      </c>
      <c r="P14" s="8">
        <v>71.429403625132977</v>
      </c>
      <c r="Q14" s="8">
        <v>75.157990273255834</v>
      </c>
      <c r="R14" s="8">
        <v>84.115942200413272</v>
      </c>
      <c r="S14" s="50">
        <v>3.6363636363636362</v>
      </c>
      <c r="T14" s="54">
        <v>170</v>
      </c>
      <c r="U14" s="20">
        <v>10</v>
      </c>
      <c r="V14" s="12">
        <v>0</v>
      </c>
    </row>
    <row r="15" spans="1:22" s="53" customFormat="1" x14ac:dyDescent="0.35">
      <c r="A15" s="2">
        <v>42596</v>
      </c>
      <c r="B15" s="3">
        <f t="shared" si="0"/>
        <v>2016</v>
      </c>
      <c r="C15" s="3">
        <f t="shared" si="1"/>
        <v>8</v>
      </c>
      <c r="D15" s="3">
        <f t="shared" si="2"/>
        <v>14</v>
      </c>
      <c r="E15" s="13">
        <v>25.2</v>
      </c>
      <c r="F15" s="13">
        <v>30.4</v>
      </c>
      <c r="G15" s="13">
        <v>28</v>
      </c>
      <c r="H15" s="34">
        <v>27.2</v>
      </c>
      <c r="I15" s="48">
        <v>31.6</v>
      </c>
      <c r="J15" s="48">
        <v>24.6</v>
      </c>
      <c r="K15" s="49">
        <v>0</v>
      </c>
      <c r="L15" s="49">
        <v>77.5</v>
      </c>
      <c r="M15"/>
      <c r="N15" s="38">
        <v>1010.3291666666669</v>
      </c>
      <c r="O15" s="8">
        <v>88.466990459255072</v>
      </c>
      <c r="P15" s="8">
        <v>66.753122829028825</v>
      </c>
      <c r="Q15" s="8">
        <v>79.593941637412698</v>
      </c>
      <c r="R15" s="8">
        <v>80.820261346237913</v>
      </c>
      <c r="S15" s="50">
        <v>4.1363636363636367</v>
      </c>
      <c r="T15" s="54">
        <v>90</v>
      </c>
      <c r="U15" s="20">
        <v>9</v>
      </c>
      <c r="V15" s="12">
        <v>0</v>
      </c>
    </row>
    <row r="16" spans="1:22" s="53" customFormat="1" x14ac:dyDescent="0.35">
      <c r="A16" s="2">
        <v>42597</v>
      </c>
      <c r="B16" s="3">
        <f t="shared" si="0"/>
        <v>2016</v>
      </c>
      <c r="C16" s="3">
        <f t="shared" si="1"/>
        <v>8</v>
      </c>
      <c r="D16" s="3">
        <f t="shared" si="2"/>
        <v>15</v>
      </c>
      <c r="E16" s="13">
        <v>25</v>
      </c>
      <c r="F16" s="13">
        <v>30.6</v>
      </c>
      <c r="G16" s="13">
        <v>29</v>
      </c>
      <c r="H16" s="34">
        <v>27.4</v>
      </c>
      <c r="I16" s="48">
        <v>31.4</v>
      </c>
      <c r="J16" s="48">
        <v>24.6</v>
      </c>
      <c r="K16" s="49">
        <v>2.1</v>
      </c>
      <c r="L16" s="49">
        <v>100</v>
      </c>
      <c r="M16"/>
      <c r="N16" s="38">
        <v>1010.3541666666665</v>
      </c>
      <c r="O16" s="8">
        <v>91.663269833047266</v>
      </c>
      <c r="P16" s="8">
        <v>69.425087113108702</v>
      </c>
      <c r="Q16" s="8">
        <v>75.159338996638681</v>
      </c>
      <c r="R16" s="8">
        <v>81.977741443960483</v>
      </c>
      <c r="S16" s="50">
        <v>9.454545454545455</v>
      </c>
      <c r="T16" s="54">
        <v>50</v>
      </c>
      <c r="U16" s="20">
        <v>99</v>
      </c>
      <c r="V16" s="12">
        <v>0</v>
      </c>
    </row>
    <row r="17" spans="1:22" s="53" customFormat="1" x14ac:dyDescent="0.35">
      <c r="A17" s="2">
        <v>42598</v>
      </c>
      <c r="B17" s="3">
        <f t="shared" si="0"/>
        <v>2016</v>
      </c>
      <c r="C17" s="3">
        <f t="shared" si="1"/>
        <v>8</v>
      </c>
      <c r="D17" s="3">
        <f t="shared" si="2"/>
        <v>16</v>
      </c>
      <c r="E17" s="13">
        <v>24.8</v>
      </c>
      <c r="F17" s="13">
        <v>30.6</v>
      </c>
      <c r="G17" s="13">
        <v>28.8</v>
      </c>
      <c r="H17" s="34">
        <v>27.25</v>
      </c>
      <c r="I17" s="48">
        <v>31.4</v>
      </c>
      <c r="J17" s="48">
        <v>24.2</v>
      </c>
      <c r="K17" s="49" t="s">
        <v>9</v>
      </c>
      <c r="L17" s="49">
        <v>100</v>
      </c>
      <c r="M17"/>
      <c r="N17" s="38">
        <v>1010.3083333333334</v>
      </c>
      <c r="O17" s="8">
        <v>93.275443768587351</v>
      </c>
      <c r="P17" s="8">
        <v>70.710053527925965</v>
      </c>
      <c r="Q17" s="8">
        <v>75.055618467157387</v>
      </c>
      <c r="R17" s="8">
        <v>83.079139883064514</v>
      </c>
      <c r="S17" s="50">
        <v>6.8695652173913047</v>
      </c>
      <c r="T17" s="54">
        <v>60</v>
      </c>
      <c r="U17" s="20">
        <v>12</v>
      </c>
      <c r="V17" s="12">
        <v>0</v>
      </c>
    </row>
    <row r="18" spans="1:22" s="53" customFormat="1" x14ac:dyDescent="0.35">
      <c r="A18" s="2">
        <v>42599</v>
      </c>
      <c r="B18" s="3">
        <f t="shared" si="0"/>
        <v>2016</v>
      </c>
      <c r="C18" s="3">
        <f t="shared" si="1"/>
        <v>8</v>
      </c>
      <c r="D18" s="3">
        <f t="shared" si="2"/>
        <v>17</v>
      </c>
      <c r="E18" s="13">
        <v>24.6</v>
      </c>
      <c r="F18" s="13">
        <v>30.8</v>
      </c>
      <c r="G18" s="13">
        <v>29</v>
      </c>
      <c r="H18" s="34">
        <v>27.25</v>
      </c>
      <c r="I18" s="48">
        <v>32.4</v>
      </c>
      <c r="J18" s="48">
        <v>24.4</v>
      </c>
      <c r="K18" s="40" t="s">
        <v>9</v>
      </c>
      <c r="L18" s="49">
        <v>100</v>
      </c>
      <c r="M18"/>
      <c r="N18" s="38">
        <v>1010.2041666666664</v>
      </c>
      <c r="O18" s="8">
        <v>94.913649922867037</v>
      </c>
      <c r="P18" s="8">
        <v>72.11491600481736</v>
      </c>
      <c r="Q18" s="8">
        <v>76.541579140748425</v>
      </c>
      <c r="R18" s="8">
        <v>84.620948747824954</v>
      </c>
      <c r="S18" s="50">
        <v>6.6190476190476186</v>
      </c>
      <c r="T18" s="54">
        <v>60</v>
      </c>
      <c r="U18" s="20">
        <v>12</v>
      </c>
      <c r="V18" s="12">
        <v>0</v>
      </c>
    </row>
    <row r="19" spans="1:22" s="53" customFormat="1" x14ac:dyDescent="0.35">
      <c r="A19" s="2">
        <v>42600</v>
      </c>
      <c r="B19" s="3">
        <f t="shared" si="0"/>
        <v>2016</v>
      </c>
      <c r="C19" s="3">
        <f t="shared" si="1"/>
        <v>8</v>
      </c>
      <c r="D19" s="3">
        <f t="shared" si="2"/>
        <v>18</v>
      </c>
      <c r="E19" s="13">
        <v>24.8</v>
      </c>
      <c r="F19" s="13">
        <v>31.2</v>
      </c>
      <c r="G19" s="13">
        <v>30.2</v>
      </c>
      <c r="H19" s="34">
        <v>27.75</v>
      </c>
      <c r="I19" s="48">
        <v>31.4</v>
      </c>
      <c r="J19" s="48">
        <v>23.8</v>
      </c>
      <c r="K19" s="49" t="s">
        <v>9</v>
      </c>
      <c r="L19" s="49">
        <v>100</v>
      </c>
      <c r="M19"/>
      <c r="N19" s="38">
        <v>1009.1791666666664</v>
      </c>
      <c r="O19" s="8">
        <v>91.628085579958068</v>
      </c>
      <c r="P19" s="8">
        <v>64.813279345893136</v>
      </c>
      <c r="Q19" s="8">
        <v>65.382224221801025</v>
      </c>
      <c r="R19" s="8">
        <v>78.36291868190257</v>
      </c>
      <c r="S19" s="50">
        <v>4.8571428571428568</v>
      </c>
      <c r="T19" s="54">
        <v>30</v>
      </c>
      <c r="U19" s="20">
        <v>9</v>
      </c>
      <c r="V19" s="12">
        <v>0</v>
      </c>
    </row>
    <row r="20" spans="1:22" s="53" customFormat="1" x14ac:dyDescent="0.35">
      <c r="A20" s="2">
        <v>42601</v>
      </c>
      <c r="B20" s="3">
        <f t="shared" si="0"/>
        <v>2016</v>
      </c>
      <c r="C20" s="3">
        <f t="shared" si="1"/>
        <v>8</v>
      </c>
      <c r="D20" s="3">
        <f t="shared" si="2"/>
        <v>19</v>
      </c>
      <c r="E20" s="13">
        <v>23.8</v>
      </c>
      <c r="F20" s="13">
        <v>30</v>
      </c>
      <c r="G20" s="13">
        <v>29</v>
      </c>
      <c r="H20" s="34">
        <v>26.65</v>
      </c>
      <c r="I20" s="48">
        <v>30.8</v>
      </c>
      <c r="J20" s="48">
        <v>23.2</v>
      </c>
      <c r="K20" s="49" t="s">
        <v>9</v>
      </c>
      <c r="L20" s="49">
        <v>100</v>
      </c>
      <c r="M20"/>
      <c r="N20" s="38">
        <v>1009.225</v>
      </c>
      <c r="O20" s="8">
        <v>84.784567065288584</v>
      </c>
      <c r="P20" s="8">
        <v>67.782307025678293</v>
      </c>
      <c r="Q20" s="8">
        <v>71.093648519915533</v>
      </c>
      <c r="R20" s="8">
        <v>77.111272419042749</v>
      </c>
      <c r="S20" s="50">
        <v>4.375</v>
      </c>
      <c r="T20" s="54">
        <v>190</v>
      </c>
      <c r="U20" s="20">
        <v>9</v>
      </c>
      <c r="V20" s="12">
        <v>0</v>
      </c>
    </row>
    <row r="21" spans="1:22" s="53" customFormat="1" x14ac:dyDescent="0.35">
      <c r="A21" s="2">
        <v>42602</v>
      </c>
      <c r="B21" s="3">
        <f t="shared" ref="B21:B84" si="3">YEAR(A21)</f>
        <v>2016</v>
      </c>
      <c r="C21" s="3">
        <f t="shared" ref="C21:C84" si="4">MONTH(A21)</f>
        <v>8</v>
      </c>
      <c r="D21" s="3">
        <f t="shared" ref="D21:D84" si="5">DAY(A21)</f>
        <v>20</v>
      </c>
      <c r="E21" s="13">
        <v>23.2</v>
      </c>
      <c r="F21" s="13">
        <v>30.6</v>
      </c>
      <c r="G21" s="13">
        <v>29</v>
      </c>
      <c r="H21" s="34">
        <v>26.5</v>
      </c>
      <c r="I21" s="48">
        <v>31.2</v>
      </c>
      <c r="J21" s="48">
        <v>21.8</v>
      </c>
      <c r="K21" s="49" t="s">
        <v>9</v>
      </c>
      <c r="L21" s="49">
        <v>100</v>
      </c>
      <c r="M21"/>
      <c r="N21" s="38">
        <v>1009.5916666666667</v>
      </c>
      <c r="O21" s="8">
        <v>86.22289316934291</v>
      </c>
      <c r="P21" s="8">
        <v>61.92365849360916</v>
      </c>
      <c r="Q21" s="8">
        <v>65.806750654450113</v>
      </c>
      <c r="R21" s="8">
        <v>75.044048871686272</v>
      </c>
      <c r="S21" s="50">
        <v>4.958333333333333</v>
      </c>
      <c r="T21" s="54">
        <v>190</v>
      </c>
      <c r="U21" s="20">
        <v>10</v>
      </c>
      <c r="V21" s="12">
        <v>0</v>
      </c>
    </row>
    <row r="22" spans="1:22" s="53" customFormat="1" x14ac:dyDescent="0.35">
      <c r="A22" s="2">
        <v>42603</v>
      </c>
      <c r="B22" s="3">
        <f t="shared" si="3"/>
        <v>2016</v>
      </c>
      <c r="C22" s="3">
        <f t="shared" si="4"/>
        <v>8</v>
      </c>
      <c r="D22" s="3">
        <f t="shared" si="5"/>
        <v>21</v>
      </c>
      <c r="E22" s="13">
        <v>22.2</v>
      </c>
      <c r="F22" s="13">
        <v>30.4</v>
      </c>
      <c r="G22" s="13">
        <v>29.2</v>
      </c>
      <c r="H22" s="34">
        <v>26</v>
      </c>
      <c r="I22" s="48">
        <v>30.7</v>
      </c>
      <c r="J22" s="48">
        <v>22.2</v>
      </c>
      <c r="K22" s="49" t="s">
        <v>9</v>
      </c>
      <c r="L22" s="49">
        <v>100</v>
      </c>
      <c r="M22"/>
      <c r="N22" s="38">
        <v>1009.5625</v>
      </c>
      <c r="O22" s="8">
        <v>92.836669793083459</v>
      </c>
      <c r="P22" s="8">
        <v>61.777840287191509</v>
      </c>
      <c r="Q22" s="8">
        <v>71.216582457965302</v>
      </c>
      <c r="R22" s="8">
        <v>79.666940582830932</v>
      </c>
      <c r="S22" s="50">
        <v>3.9166666666666665</v>
      </c>
      <c r="T22" s="54">
        <v>180</v>
      </c>
      <c r="U22" s="20">
        <v>9</v>
      </c>
      <c r="V22" s="12">
        <v>0</v>
      </c>
    </row>
    <row r="23" spans="1:22" s="53" customFormat="1" x14ac:dyDescent="0.35">
      <c r="A23" s="2">
        <v>42604</v>
      </c>
      <c r="B23" s="3">
        <f t="shared" si="3"/>
        <v>2016</v>
      </c>
      <c r="C23" s="3">
        <f t="shared" si="4"/>
        <v>8</v>
      </c>
      <c r="D23" s="3">
        <f t="shared" si="5"/>
        <v>22</v>
      </c>
      <c r="E23" s="13">
        <v>24.8</v>
      </c>
      <c r="F23" s="13">
        <v>32.200000000000003</v>
      </c>
      <c r="G23" s="13">
        <v>28.6</v>
      </c>
      <c r="H23" s="34">
        <v>27.6</v>
      </c>
      <c r="I23" s="48">
        <v>32.700000000000003</v>
      </c>
      <c r="J23" s="48">
        <v>21.2</v>
      </c>
      <c r="K23" s="49" t="s">
        <v>9</v>
      </c>
      <c r="L23" s="49">
        <v>100</v>
      </c>
      <c r="M23"/>
      <c r="N23" s="38">
        <v>1009.2916666666669</v>
      </c>
      <c r="O23" s="8">
        <v>74.230713875501067</v>
      </c>
      <c r="P23" s="8">
        <v>47.326339814222159</v>
      </c>
      <c r="Q23" s="8">
        <v>66.839499826118484</v>
      </c>
      <c r="R23" s="8">
        <v>65.656816847835699</v>
      </c>
      <c r="S23" s="50">
        <v>5.4285714285714288</v>
      </c>
      <c r="T23" s="54" t="e">
        <v>#N/A</v>
      </c>
      <c r="U23" s="20">
        <v>9</v>
      </c>
      <c r="V23" s="12">
        <v>0</v>
      </c>
    </row>
    <row r="24" spans="1:22" s="53" customFormat="1" x14ac:dyDescent="0.35">
      <c r="A24" s="2">
        <v>42605</v>
      </c>
      <c r="B24" s="3">
        <f t="shared" si="3"/>
        <v>2016</v>
      </c>
      <c r="C24" s="3">
        <f t="shared" si="4"/>
        <v>8</v>
      </c>
      <c r="D24" s="3">
        <f t="shared" si="5"/>
        <v>23</v>
      </c>
      <c r="E24" s="13">
        <v>21.2</v>
      </c>
      <c r="F24" s="13">
        <v>30</v>
      </c>
      <c r="G24" s="13">
        <v>28.4</v>
      </c>
      <c r="H24" s="34">
        <v>25.200000000000003</v>
      </c>
      <c r="I24" s="48">
        <v>30.6</v>
      </c>
      <c r="J24" s="48">
        <v>21.2</v>
      </c>
      <c r="K24" s="49" t="s">
        <v>9</v>
      </c>
      <c r="L24" s="49">
        <v>100</v>
      </c>
      <c r="M24"/>
      <c r="N24" s="38">
        <v>1008.4958333333334</v>
      </c>
      <c r="O24" s="8">
        <v>96.300095009956337</v>
      </c>
      <c r="P24" s="8">
        <v>66.502760492421658</v>
      </c>
      <c r="Q24" s="8">
        <v>74.861651837500915</v>
      </c>
      <c r="R24" s="8">
        <v>83.491150587458819</v>
      </c>
      <c r="S24" s="50">
        <v>6.5</v>
      </c>
      <c r="T24" s="54">
        <v>50</v>
      </c>
      <c r="U24" s="20">
        <v>12</v>
      </c>
      <c r="V24" s="12">
        <v>0</v>
      </c>
    </row>
    <row r="25" spans="1:22" s="53" customFormat="1" x14ac:dyDescent="0.35">
      <c r="A25" s="2">
        <v>42606</v>
      </c>
      <c r="B25" s="3">
        <f t="shared" si="3"/>
        <v>2016</v>
      </c>
      <c r="C25" s="3">
        <f t="shared" si="4"/>
        <v>8</v>
      </c>
      <c r="D25" s="3">
        <f t="shared" si="5"/>
        <v>24</v>
      </c>
      <c r="E25" s="13">
        <v>23.2</v>
      </c>
      <c r="F25" s="13">
        <v>30.2</v>
      </c>
      <c r="G25" s="13">
        <v>29</v>
      </c>
      <c r="H25" s="34">
        <v>26.4</v>
      </c>
      <c r="I25" s="48">
        <v>30.8</v>
      </c>
      <c r="J25" s="48">
        <v>23.2</v>
      </c>
      <c r="K25" s="49">
        <v>16.100000000000001</v>
      </c>
      <c r="L25" s="49">
        <v>100</v>
      </c>
      <c r="M25"/>
      <c r="N25" s="38">
        <v>1008.2208333333332</v>
      </c>
      <c r="O25" s="8">
        <v>89.597573237541567</v>
      </c>
      <c r="P25" s="8">
        <v>65.377596438235202</v>
      </c>
      <c r="Q25" s="8">
        <v>72.452160885702696</v>
      </c>
      <c r="R25" s="8">
        <v>79.256225949755262</v>
      </c>
      <c r="S25" s="50">
        <v>5.7619047619047619</v>
      </c>
      <c r="T25" s="54">
        <v>50</v>
      </c>
      <c r="U25" s="20">
        <v>10</v>
      </c>
      <c r="V25" s="12">
        <v>0</v>
      </c>
    </row>
    <row r="26" spans="1:22" s="53" customFormat="1" x14ac:dyDescent="0.35">
      <c r="A26" s="2">
        <v>42607</v>
      </c>
      <c r="B26" s="3">
        <f t="shared" si="3"/>
        <v>2016</v>
      </c>
      <c r="C26" s="3">
        <f t="shared" si="4"/>
        <v>8</v>
      </c>
      <c r="D26" s="3">
        <f t="shared" si="5"/>
        <v>25</v>
      </c>
      <c r="E26" s="13">
        <v>25</v>
      </c>
      <c r="F26" s="13">
        <v>30.8</v>
      </c>
      <c r="G26" s="13">
        <v>29</v>
      </c>
      <c r="H26" s="34">
        <v>27.45</v>
      </c>
      <c r="I26" s="48">
        <v>30.9</v>
      </c>
      <c r="J26" s="48">
        <v>23.8</v>
      </c>
      <c r="K26" s="49">
        <v>0.2</v>
      </c>
      <c r="L26" s="49">
        <v>16.25</v>
      </c>
      <c r="M26"/>
      <c r="N26" s="38">
        <v>1009.4249999999998</v>
      </c>
      <c r="O26" s="8">
        <v>88.416076746363387</v>
      </c>
      <c r="P26" s="8">
        <v>63.296766274838468</v>
      </c>
      <c r="Q26" s="8">
        <v>73.798569053547226</v>
      </c>
      <c r="R26" s="8">
        <v>78.481872205278108</v>
      </c>
      <c r="S26" s="50">
        <v>4.55</v>
      </c>
      <c r="T26" s="54">
        <v>30</v>
      </c>
      <c r="U26" s="20">
        <v>9</v>
      </c>
      <c r="V26" s="12">
        <v>0</v>
      </c>
    </row>
    <row r="27" spans="1:22" s="53" customFormat="1" x14ac:dyDescent="0.35">
      <c r="A27" s="2">
        <v>42608</v>
      </c>
      <c r="B27" s="3">
        <f t="shared" si="3"/>
        <v>2016</v>
      </c>
      <c r="C27" s="3">
        <f t="shared" si="4"/>
        <v>8</v>
      </c>
      <c r="D27" s="3">
        <f t="shared" si="5"/>
        <v>26</v>
      </c>
      <c r="E27" s="13">
        <v>24</v>
      </c>
      <c r="F27" s="13">
        <v>30.4</v>
      </c>
      <c r="G27" s="13">
        <v>29</v>
      </c>
      <c r="H27" s="34">
        <v>26.85</v>
      </c>
      <c r="I27" s="48">
        <v>30.8</v>
      </c>
      <c r="J27" s="48">
        <v>24</v>
      </c>
      <c r="K27" s="49" t="s">
        <v>9</v>
      </c>
      <c r="L27" s="49">
        <v>100</v>
      </c>
      <c r="M27"/>
      <c r="N27" s="38">
        <v>1010.5458333333335</v>
      </c>
      <c r="O27" s="8">
        <v>93.147308902018565</v>
      </c>
      <c r="P27" s="8">
        <v>65.489010923877345</v>
      </c>
      <c r="Q27" s="8">
        <v>75.155292826490154</v>
      </c>
      <c r="R27" s="8">
        <v>81.73473038860115</v>
      </c>
      <c r="S27" s="50">
        <v>7.3684210526315788</v>
      </c>
      <c r="T27" s="54">
        <v>50</v>
      </c>
      <c r="U27" s="20">
        <v>12</v>
      </c>
      <c r="V27" s="12">
        <v>0</v>
      </c>
    </row>
    <row r="28" spans="1:22" s="53" customFormat="1" x14ac:dyDescent="0.35">
      <c r="A28" s="2">
        <v>42609</v>
      </c>
      <c r="B28" s="3">
        <f t="shared" si="3"/>
        <v>2016</v>
      </c>
      <c r="C28" s="3">
        <f t="shared" si="4"/>
        <v>8</v>
      </c>
      <c r="D28" s="3">
        <f t="shared" si="5"/>
        <v>27</v>
      </c>
      <c r="E28" s="13">
        <v>25.7</v>
      </c>
      <c r="F28" s="13">
        <v>30.4</v>
      </c>
      <c r="G28" s="13">
        <v>29</v>
      </c>
      <c r="H28" s="34">
        <v>27.7</v>
      </c>
      <c r="I28" s="48">
        <v>31.2</v>
      </c>
      <c r="J28" s="48">
        <v>25.7</v>
      </c>
      <c r="K28" s="40" t="s">
        <v>9</v>
      </c>
      <c r="L28" s="49">
        <v>100</v>
      </c>
      <c r="M28"/>
      <c r="N28" s="38">
        <v>1011.1708333333332</v>
      </c>
      <c r="O28" s="8">
        <v>95.040978833168268</v>
      </c>
      <c r="P28" s="8">
        <v>74.511577153027261</v>
      </c>
      <c r="Q28" s="8">
        <v>80.722995482193056</v>
      </c>
      <c r="R28" s="8">
        <v>86.329132575389224</v>
      </c>
      <c r="S28" s="50">
        <v>7.125</v>
      </c>
      <c r="T28" s="54">
        <v>90</v>
      </c>
      <c r="U28" s="20">
        <v>12</v>
      </c>
      <c r="V28" s="12">
        <v>0</v>
      </c>
    </row>
    <row r="29" spans="1:22" s="53" customFormat="1" x14ac:dyDescent="0.35">
      <c r="A29" s="2">
        <v>42610</v>
      </c>
      <c r="B29" s="3">
        <f t="shared" si="3"/>
        <v>2016</v>
      </c>
      <c r="C29" s="3">
        <f t="shared" si="4"/>
        <v>8</v>
      </c>
      <c r="D29" s="3">
        <f t="shared" si="5"/>
        <v>28</v>
      </c>
      <c r="E29" s="13">
        <v>26.8</v>
      </c>
      <c r="F29" s="13">
        <v>30.6</v>
      </c>
      <c r="G29" s="13">
        <v>29.1</v>
      </c>
      <c r="H29" s="34">
        <v>28.325000000000003</v>
      </c>
      <c r="I29" s="48">
        <v>31</v>
      </c>
      <c r="J29" s="48">
        <v>25.5</v>
      </c>
      <c r="K29" s="49" t="s">
        <v>9</v>
      </c>
      <c r="L29" s="49">
        <v>100</v>
      </c>
      <c r="M29"/>
      <c r="N29" s="38">
        <v>1011.2041666666669</v>
      </c>
      <c r="O29" s="8">
        <v>90.426403871155941</v>
      </c>
      <c r="P29" s="8">
        <v>66.877861439943302</v>
      </c>
      <c r="Q29" s="8">
        <v>75.208113669082081</v>
      </c>
      <c r="R29" s="8">
        <v>80.734695712834309</v>
      </c>
      <c r="S29" s="50">
        <v>7.3043478260869561</v>
      </c>
      <c r="T29" s="54">
        <v>90</v>
      </c>
      <c r="U29" s="20">
        <v>13</v>
      </c>
      <c r="V29" s="12">
        <v>0</v>
      </c>
    </row>
    <row r="30" spans="1:22" s="53" customFormat="1" x14ac:dyDescent="0.35">
      <c r="A30" s="2">
        <v>42611</v>
      </c>
      <c r="B30" s="3">
        <f t="shared" si="3"/>
        <v>2016</v>
      </c>
      <c r="C30" s="3">
        <f t="shared" si="4"/>
        <v>8</v>
      </c>
      <c r="D30" s="3">
        <f t="shared" si="5"/>
        <v>29</v>
      </c>
      <c r="E30" s="13">
        <v>26</v>
      </c>
      <c r="F30" s="13">
        <v>30.4</v>
      </c>
      <c r="G30" s="13">
        <v>29.2</v>
      </c>
      <c r="H30" s="34">
        <v>27.900000000000002</v>
      </c>
      <c r="I30" s="48">
        <v>31.1</v>
      </c>
      <c r="J30" s="48">
        <v>25.4</v>
      </c>
      <c r="K30" s="49" t="s">
        <v>9</v>
      </c>
      <c r="L30" s="49">
        <v>100</v>
      </c>
      <c r="M30"/>
      <c r="N30" s="38">
        <v>1010.5458333333332</v>
      </c>
      <c r="O30" s="8">
        <v>91.850798470608723</v>
      </c>
      <c r="P30" s="8">
        <v>69.302133785570845</v>
      </c>
      <c r="Q30" s="8">
        <v>72.554941919016585</v>
      </c>
      <c r="R30" s="8">
        <v>81.389668161451226</v>
      </c>
      <c r="S30" s="50">
        <v>5.958333333333333</v>
      </c>
      <c r="T30" s="54">
        <v>150</v>
      </c>
      <c r="U30" s="20">
        <v>11</v>
      </c>
      <c r="V30" s="12">
        <v>0</v>
      </c>
    </row>
    <row r="31" spans="1:22" s="53" customFormat="1" x14ac:dyDescent="0.35">
      <c r="A31" s="2">
        <v>42612</v>
      </c>
      <c r="B31" s="3">
        <f t="shared" si="3"/>
        <v>2016</v>
      </c>
      <c r="C31" s="3">
        <f t="shared" si="4"/>
        <v>8</v>
      </c>
      <c r="D31" s="3">
        <f t="shared" si="5"/>
        <v>30</v>
      </c>
      <c r="E31" s="13">
        <v>26.6</v>
      </c>
      <c r="F31" s="13">
        <v>31</v>
      </c>
      <c r="G31" s="13">
        <v>29</v>
      </c>
      <c r="H31" s="34">
        <v>28.3</v>
      </c>
      <c r="I31" s="48">
        <v>31.2</v>
      </c>
      <c r="J31" s="48">
        <v>24.6</v>
      </c>
      <c r="K31" s="49" t="s">
        <v>9</v>
      </c>
      <c r="L31" s="49">
        <v>100</v>
      </c>
      <c r="M31"/>
      <c r="N31" s="38">
        <v>1010.8416666666666</v>
      </c>
      <c r="O31" s="8">
        <v>87.273222885107771</v>
      </c>
      <c r="P31" s="8">
        <v>62.815650163165401</v>
      </c>
      <c r="Q31" s="8">
        <v>73.790714723258915</v>
      </c>
      <c r="R31" s="8">
        <v>77.788202664159968</v>
      </c>
      <c r="S31" s="50">
        <v>5.958333333333333</v>
      </c>
      <c r="T31" s="54">
        <v>50</v>
      </c>
      <c r="U31" s="20">
        <v>15</v>
      </c>
      <c r="V31" s="12">
        <v>0</v>
      </c>
    </row>
    <row r="32" spans="1:22" s="53" customFormat="1" x14ac:dyDescent="0.35">
      <c r="A32" s="2">
        <v>42613</v>
      </c>
      <c r="B32" s="3">
        <f t="shared" si="3"/>
        <v>2016</v>
      </c>
      <c r="C32" s="3">
        <f t="shared" si="4"/>
        <v>8</v>
      </c>
      <c r="D32" s="3">
        <f t="shared" si="5"/>
        <v>31</v>
      </c>
      <c r="E32" s="13">
        <v>24.8</v>
      </c>
      <c r="F32" s="13">
        <v>30.6</v>
      </c>
      <c r="G32" s="13">
        <v>29</v>
      </c>
      <c r="H32" s="34">
        <v>27.3</v>
      </c>
      <c r="I32" s="48">
        <v>31</v>
      </c>
      <c r="J32" s="48" t="e">
        <v>#REF!</v>
      </c>
      <c r="K32" s="49" t="s">
        <v>9</v>
      </c>
      <c r="L32" s="49">
        <v>0</v>
      </c>
      <c r="M32"/>
      <c r="N32" s="38">
        <v>1011.7833333333332</v>
      </c>
      <c r="O32" s="8">
        <v>94.103255072225892</v>
      </c>
      <c r="P32" s="8">
        <v>68.131976303477302</v>
      </c>
      <c r="Q32" s="8">
        <v>73.784288453023024</v>
      </c>
      <c r="R32" s="8">
        <v>82.530693725238024</v>
      </c>
      <c r="S32" s="50">
        <v>6</v>
      </c>
      <c r="T32" s="54">
        <v>70</v>
      </c>
      <c r="U32" s="20">
        <v>10</v>
      </c>
      <c r="V32" s="12">
        <v>0</v>
      </c>
    </row>
    <row r="33" spans="1:22" s="53" customFormat="1" x14ac:dyDescent="0.35">
      <c r="A33" s="2">
        <v>42614</v>
      </c>
      <c r="B33" s="3">
        <f t="shared" si="3"/>
        <v>2016</v>
      </c>
      <c r="C33" s="3">
        <f t="shared" si="4"/>
        <v>9</v>
      </c>
      <c r="D33" s="3">
        <f t="shared" si="5"/>
        <v>1</v>
      </c>
      <c r="E33" s="23">
        <v>26.2</v>
      </c>
      <c r="F33" s="23">
        <v>30.4</v>
      </c>
      <c r="G33" s="23">
        <v>29.4</v>
      </c>
      <c r="H33" s="34">
        <v>28.049999999999997</v>
      </c>
      <c r="I33" s="4">
        <v>30.9</v>
      </c>
      <c r="J33" s="4">
        <v>24.6</v>
      </c>
      <c r="K33" s="40">
        <v>7.4</v>
      </c>
      <c r="L33" s="7">
        <v>100</v>
      </c>
      <c r="M33" s="51"/>
      <c r="N33" s="4" t="e">
        <v>#REF!</v>
      </c>
      <c r="O33" s="7">
        <v>100</v>
      </c>
      <c r="P33" s="7">
        <v>70.588549529485022</v>
      </c>
      <c r="Q33" s="7">
        <v>76.731065711577202</v>
      </c>
      <c r="R33" s="8">
        <v>86.829903810265563</v>
      </c>
      <c r="S33" s="25">
        <v>4.6875</v>
      </c>
      <c r="T33" s="24">
        <v>90</v>
      </c>
      <c r="U33" s="7">
        <v>10</v>
      </c>
      <c r="V33" s="3">
        <v>0</v>
      </c>
    </row>
    <row r="34" spans="1:22" s="53" customFormat="1" x14ac:dyDescent="0.35">
      <c r="A34" s="2">
        <v>42615</v>
      </c>
      <c r="B34" s="3">
        <f t="shared" si="3"/>
        <v>2016</v>
      </c>
      <c r="C34" s="3">
        <f t="shared" si="4"/>
        <v>9</v>
      </c>
      <c r="D34" s="3">
        <f t="shared" si="5"/>
        <v>2</v>
      </c>
      <c r="E34" s="23">
        <v>25</v>
      </c>
      <c r="F34" s="23">
        <v>30.9</v>
      </c>
      <c r="G34" s="23">
        <v>29.4</v>
      </c>
      <c r="H34" s="34">
        <v>27.575000000000003</v>
      </c>
      <c r="I34" s="4">
        <v>31.2</v>
      </c>
      <c r="J34" s="4">
        <v>24</v>
      </c>
      <c r="K34" s="7">
        <v>9.9</v>
      </c>
      <c r="L34" s="7">
        <v>100</v>
      </c>
      <c r="M34" s="51"/>
      <c r="N34" s="4">
        <v>1010.275</v>
      </c>
      <c r="O34" s="7">
        <v>88.411512143022065</v>
      </c>
      <c r="P34" s="7">
        <v>65.220754963147272</v>
      </c>
      <c r="Q34" s="7">
        <v>75.368844715040822</v>
      </c>
      <c r="R34" s="8">
        <v>79.35315599105806</v>
      </c>
      <c r="S34" s="25">
        <v>4.1739130434782608</v>
      </c>
      <c r="T34" s="24">
        <v>90</v>
      </c>
      <c r="U34" s="7">
        <v>8</v>
      </c>
      <c r="V34" s="3">
        <v>0</v>
      </c>
    </row>
    <row r="35" spans="1:22" s="53" customFormat="1" x14ac:dyDescent="0.35">
      <c r="A35" s="2">
        <v>42616</v>
      </c>
      <c r="B35" s="3">
        <f t="shared" si="3"/>
        <v>2016</v>
      </c>
      <c r="C35" s="3">
        <f t="shared" si="4"/>
        <v>9</v>
      </c>
      <c r="D35" s="3">
        <f t="shared" si="5"/>
        <v>3</v>
      </c>
      <c r="E35" s="23">
        <v>24.2</v>
      </c>
      <c r="F35" s="23">
        <v>30</v>
      </c>
      <c r="G35" s="23">
        <v>29</v>
      </c>
      <c r="H35" s="34">
        <v>26.85</v>
      </c>
      <c r="I35" s="4">
        <v>30.6</v>
      </c>
      <c r="J35" s="4">
        <v>24.2</v>
      </c>
      <c r="K35" s="7">
        <v>0.5</v>
      </c>
      <c r="L35" s="7">
        <v>100</v>
      </c>
      <c r="M35" s="51"/>
      <c r="N35" s="4">
        <v>1010.2874999999999</v>
      </c>
      <c r="O35" s="7">
        <v>96.565047558562796</v>
      </c>
      <c r="P35" s="7">
        <v>71.665401646409279</v>
      </c>
      <c r="Q35" s="7">
        <v>75.160013358330104</v>
      </c>
      <c r="R35" s="8">
        <v>84.98887753046624</v>
      </c>
      <c r="S35" s="25">
        <v>4.7826086956521738</v>
      </c>
      <c r="T35" s="24">
        <v>50</v>
      </c>
      <c r="U35" s="7">
        <v>12</v>
      </c>
      <c r="V35" s="3">
        <v>0</v>
      </c>
    </row>
    <row r="36" spans="1:22" s="53" customFormat="1" x14ac:dyDescent="0.35">
      <c r="A36" s="2">
        <v>42617</v>
      </c>
      <c r="B36" s="3">
        <f t="shared" si="3"/>
        <v>2016</v>
      </c>
      <c r="C36" s="3">
        <f t="shared" si="4"/>
        <v>9</v>
      </c>
      <c r="D36" s="3">
        <f t="shared" si="5"/>
        <v>4</v>
      </c>
      <c r="E36" s="23">
        <v>25.2</v>
      </c>
      <c r="F36" s="23">
        <v>30.4</v>
      </c>
      <c r="G36" s="23">
        <v>29</v>
      </c>
      <c r="H36" s="34">
        <v>27.45</v>
      </c>
      <c r="I36" s="4">
        <v>31</v>
      </c>
      <c r="J36" s="4">
        <v>25.2</v>
      </c>
      <c r="K36" s="7" t="s">
        <v>9</v>
      </c>
      <c r="L36" s="7">
        <v>100</v>
      </c>
      <c r="M36" s="51"/>
      <c r="N36" s="4">
        <v>1011.1791666666668</v>
      </c>
      <c r="O36" s="7">
        <v>95.812336174562574</v>
      </c>
      <c r="P36" s="7">
        <v>68.015340371985118</v>
      </c>
      <c r="Q36" s="7">
        <v>71.082541386174469</v>
      </c>
      <c r="R36" s="8">
        <v>82.680638526821184</v>
      </c>
      <c r="S36" s="25">
        <v>5.4</v>
      </c>
      <c r="T36" s="24">
        <v>50</v>
      </c>
      <c r="U36" s="7">
        <v>10</v>
      </c>
      <c r="V36" s="3">
        <v>0</v>
      </c>
    </row>
    <row r="37" spans="1:22" s="53" customFormat="1" x14ac:dyDescent="0.35">
      <c r="A37" s="2">
        <v>42618</v>
      </c>
      <c r="B37" s="3">
        <f t="shared" si="3"/>
        <v>2016</v>
      </c>
      <c r="C37" s="3">
        <f t="shared" si="4"/>
        <v>9</v>
      </c>
      <c r="D37" s="3">
        <f t="shared" si="5"/>
        <v>5</v>
      </c>
      <c r="E37" s="23">
        <v>25.2</v>
      </c>
      <c r="F37" s="23">
        <v>30.6</v>
      </c>
      <c r="G37" s="23">
        <v>28.8</v>
      </c>
      <c r="H37" s="34">
        <v>27.45</v>
      </c>
      <c r="I37" s="4">
        <v>31.2</v>
      </c>
      <c r="J37" s="4">
        <v>24.8</v>
      </c>
      <c r="K37" s="7" t="s">
        <v>9</v>
      </c>
      <c r="L37" s="7">
        <v>100</v>
      </c>
      <c r="M37" s="51"/>
      <c r="N37" s="4">
        <v>1011.9458333333333</v>
      </c>
      <c r="O37" s="7">
        <v>93.333670519702139</v>
      </c>
      <c r="P37" s="7">
        <v>68.136137583148809</v>
      </c>
      <c r="Q37" s="7">
        <v>73.673201327485529</v>
      </c>
      <c r="R37" s="8">
        <v>82.11916998750965</v>
      </c>
      <c r="S37" s="25">
        <v>5.875</v>
      </c>
      <c r="T37" s="24">
        <v>70</v>
      </c>
      <c r="U37" s="7">
        <v>14</v>
      </c>
      <c r="V37" s="3">
        <v>0</v>
      </c>
    </row>
    <row r="38" spans="1:22" s="53" customFormat="1" x14ac:dyDescent="0.35">
      <c r="A38" s="2">
        <v>42619</v>
      </c>
      <c r="B38" s="3">
        <f t="shared" si="3"/>
        <v>2016</v>
      </c>
      <c r="C38" s="3">
        <f t="shared" si="4"/>
        <v>9</v>
      </c>
      <c r="D38" s="3">
        <f t="shared" si="5"/>
        <v>6</v>
      </c>
      <c r="E38" s="23">
        <v>26.4</v>
      </c>
      <c r="F38" s="23">
        <v>30.6</v>
      </c>
      <c r="G38" s="23">
        <v>29</v>
      </c>
      <c r="H38" s="34">
        <v>28.1</v>
      </c>
      <c r="I38" s="4">
        <v>30.8</v>
      </c>
      <c r="J38" s="4">
        <v>24.8</v>
      </c>
      <c r="K38" s="7" t="s">
        <v>9</v>
      </c>
      <c r="L38" s="7">
        <v>100</v>
      </c>
      <c r="M38" s="51"/>
      <c r="N38" s="4">
        <v>1012.0624999999999</v>
      </c>
      <c r="O38" s="7">
        <v>87.213078047854736</v>
      </c>
      <c r="P38" s="7">
        <v>69.40836962434139</v>
      </c>
      <c r="Q38" s="7">
        <v>71.076194452608149</v>
      </c>
      <c r="R38" s="8">
        <v>78.727680043164753</v>
      </c>
      <c r="S38" s="25">
        <v>5.958333333333333</v>
      </c>
      <c r="T38" s="24">
        <v>50</v>
      </c>
      <c r="U38" s="7">
        <v>10</v>
      </c>
      <c r="V38" s="3">
        <v>0</v>
      </c>
    </row>
    <row r="39" spans="1:22" s="53" customFormat="1" x14ac:dyDescent="0.35">
      <c r="A39" s="2">
        <v>42620</v>
      </c>
      <c r="B39" s="3">
        <f t="shared" si="3"/>
        <v>2016</v>
      </c>
      <c r="C39" s="3">
        <f t="shared" si="4"/>
        <v>9</v>
      </c>
      <c r="D39" s="3">
        <f t="shared" si="5"/>
        <v>7</v>
      </c>
      <c r="E39" s="23">
        <v>25</v>
      </c>
      <c r="F39" s="23">
        <v>31.2</v>
      </c>
      <c r="G39" s="23">
        <v>29.5</v>
      </c>
      <c r="H39" s="34">
        <v>27.675000000000001</v>
      </c>
      <c r="I39" s="4">
        <v>31.2</v>
      </c>
      <c r="J39" s="4">
        <v>24.4</v>
      </c>
      <c r="K39" s="40" t="s">
        <v>9</v>
      </c>
      <c r="L39" s="7">
        <v>100</v>
      </c>
      <c r="M39" s="51"/>
      <c r="N39" s="4">
        <v>1011.6791666666667</v>
      </c>
      <c r="O39" s="7">
        <v>90.025552790529488</v>
      </c>
      <c r="P39" s="7">
        <v>69.779540500918102</v>
      </c>
      <c r="Q39" s="7">
        <v>70.715668557658233</v>
      </c>
      <c r="R39" s="8">
        <v>80.136578659908821</v>
      </c>
      <c r="S39" s="25">
        <v>6.5</v>
      </c>
      <c r="T39" s="24">
        <v>100</v>
      </c>
      <c r="U39" s="7">
        <v>15</v>
      </c>
      <c r="V39" s="3">
        <v>0</v>
      </c>
    </row>
    <row r="40" spans="1:22" s="53" customFormat="1" x14ac:dyDescent="0.35">
      <c r="A40" s="2">
        <v>42621</v>
      </c>
      <c r="B40" s="3">
        <f t="shared" si="3"/>
        <v>2016</v>
      </c>
      <c r="C40" s="3">
        <f t="shared" si="4"/>
        <v>9</v>
      </c>
      <c r="D40" s="3">
        <f t="shared" si="5"/>
        <v>8</v>
      </c>
      <c r="E40" s="23">
        <v>24.6</v>
      </c>
      <c r="F40" s="23">
        <v>31.4</v>
      </c>
      <c r="G40" s="23">
        <v>29.4</v>
      </c>
      <c r="H40" s="34">
        <v>27.5</v>
      </c>
      <c r="I40" s="4">
        <v>32</v>
      </c>
      <c r="J40" s="4">
        <v>23.8</v>
      </c>
      <c r="K40" s="7" t="s">
        <v>9</v>
      </c>
      <c r="L40" s="7">
        <v>100</v>
      </c>
      <c r="M40" s="51"/>
      <c r="N40" s="4">
        <v>1011.7916666666666</v>
      </c>
      <c r="O40" s="7">
        <v>93.24095632843418</v>
      </c>
      <c r="P40" s="7">
        <v>62.497881451907297</v>
      </c>
      <c r="Q40" s="7">
        <v>68.672979473194317</v>
      </c>
      <c r="R40" s="8">
        <v>79.413193395492499</v>
      </c>
      <c r="S40" s="25">
        <v>5.416666666666667</v>
      </c>
      <c r="T40" s="24">
        <v>170</v>
      </c>
      <c r="U40" s="7">
        <v>13</v>
      </c>
      <c r="V40" s="3">
        <v>0</v>
      </c>
    </row>
    <row r="41" spans="1:22" s="53" customFormat="1" x14ac:dyDescent="0.35">
      <c r="A41" s="2">
        <v>42622</v>
      </c>
      <c r="B41" s="3">
        <f t="shared" si="3"/>
        <v>2016</v>
      </c>
      <c r="C41" s="3">
        <f t="shared" si="4"/>
        <v>9</v>
      </c>
      <c r="D41" s="3">
        <f t="shared" si="5"/>
        <v>9</v>
      </c>
      <c r="E41" s="23">
        <v>24.6</v>
      </c>
      <c r="F41" s="23">
        <v>31.4</v>
      </c>
      <c r="G41" s="23">
        <v>29.2</v>
      </c>
      <c r="H41" s="34">
        <v>27.45</v>
      </c>
      <c r="I41" s="4">
        <v>32.200000000000003</v>
      </c>
      <c r="J41" s="4">
        <v>23.6</v>
      </c>
      <c r="K41" s="7" t="s">
        <v>9</v>
      </c>
      <c r="L41" s="7">
        <v>100</v>
      </c>
      <c r="M41" s="51"/>
      <c r="N41" s="4">
        <v>1011.8083333333335</v>
      </c>
      <c r="O41" s="7">
        <v>89.932761075069592</v>
      </c>
      <c r="P41" s="7">
        <v>66.15440983252266</v>
      </c>
      <c r="Q41" s="7">
        <v>73.8942050925411</v>
      </c>
      <c r="R41" s="8">
        <v>79.978534268800729</v>
      </c>
      <c r="S41" s="25">
        <v>5.916666666666667</v>
      </c>
      <c r="T41" s="24">
        <v>170</v>
      </c>
      <c r="U41" s="7">
        <v>12</v>
      </c>
      <c r="V41" s="3">
        <v>0</v>
      </c>
    </row>
    <row r="42" spans="1:22" s="53" customFormat="1" x14ac:dyDescent="0.35">
      <c r="A42" s="2">
        <v>42623</v>
      </c>
      <c r="B42" s="3">
        <f t="shared" si="3"/>
        <v>2016</v>
      </c>
      <c r="C42" s="3">
        <f t="shared" si="4"/>
        <v>9</v>
      </c>
      <c r="D42" s="3">
        <f t="shared" si="5"/>
        <v>10</v>
      </c>
      <c r="E42" s="23">
        <v>24.2</v>
      </c>
      <c r="F42" s="23">
        <v>31.2</v>
      </c>
      <c r="G42" s="23">
        <v>29.2</v>
      </c>
      <c r="H42" s="34">
        <v>27.2</v>
      </c>
      <c r="I42" s="4">
        <v>32</v>
      </c>
      <c r="J42" s="4">
        <v>23.8</v>
      </c>
      <c r="K42" s="7" t="s">
        <v>9</v>
      </c>
      <c r="L42" s="7">
        <v>97.5</v>
      </c>
      <c r="M42" s="51"/>
      <c r="N42" s="4">
        <v>1010.5583333333333</v>
      </c>
      <c r="O42" s="7">
        <v>88.187940636110255</v>
      </c>
      <c r="P42" s="7">
        <v>66.037792086256573</v>
      </c>
      <c r="Q42" s="7">
        <v>75.264652002262139</v>
      </c>
      <c r="R42" s="8">
        <v>79.419581340184806</v>
      </c>
      <c r="S42" s="25">
        <v>4.333333333333333</v>
      </c>
      <c r="T42" s="24">
        <v>160</v>
      </c>
      <c r="U42" s="7">
        <v>10</v>
      </c>
      <c r="V42" s="3">
        <v>0</v>
      </c>
    </row>
    <row r="43" spans="1:22" s="53" customFormat="1" x14ac:dyDescent="0.35">
      <c r="A43" s="2">
        <v>42624</v>
      </c>
      <c r="B43" s="3">
        <f t="shared" si="3"/>
        <v>2016</v>
      </c>
      <c r="C43" s="3">
        <f t="shared" si="4"/>
        <v>9</v>
      </c>
      <c r="D43" s="3">
        <f t="shared" si="5"/>
        <v>11</v>
      </c>
      <c r="E43" s="23">
        <v>23.8</v>
      </c>
      <c r="F43" s="23">
        <v>32.200000000000003</v>
      </c>
      <c r="G43" s="23">
        <v>29.4</v>
      </c>
      <c r="H43" s="34">
        <v>27.300000000000004</v>
      </c>
      <c r="I43" s="4">
        <v>32.799999999999997</v>
      </c>
      <c r="J43" s="4">
        <v>23.8</v>
      </c>
      <c r="K43" s="7" t="s">
        <v>9</v>
      </c>
      <c r="L43" s="7">
        <v>100</v>
      </c>
      <c r="M43" s="51"/>
      <c r="N43" s="4">
        <v>1009.7458333333334</v>
      </c>
      <c r="O43" s="7">
        <v>88.077418605114147</v>
      </c>
      <c r="P43" s="7">
        <v>55.011550842201387</v>
      </c>
      <c r="Q43" s="7">
        <v>71.330449589204136</v>
      </c>
      <c r="R43" s="8">
        <v>75.624209410408454</v>
      </c>
      <c r="S43" s="25">
        <v>4.75</v>
      </c>
      <c r="T43" s="24">
        <v>190</v>
      </c>
      <c r="U43" s="7">
        <v>9</v>
      </c>
      <c r="V43" s="3">
        <v>0</v>
      </c>
    </row>
    <row r="44" spans="1:22" s="53" customFormat="1" x14ac:dyDescent="0.35">
      <c r="A44" s="2">
        <v>42625</v>
      </c>
      <c r="B44" s="3">
        <f t="shared" si="3"/>
        <v>2016</v>
      </c>
      <c r="C44" s="3">
        <f t="shared" si="4"/>
        <v>9</v>
      </c>
      <c r="D44" s="3">
        <f t="shared" si="5"/>
        <v>12</v>
      </c>
      <c r="E44" s="23">
        <v>24.4</v>
      </c>
      <c r="F44" s="23">
        <v>32.799999999999997</v>
      </c>
      <c r="G44" s="23">
        <v>29.2</v>
      </c>
      <c r="H44" s="34">
        <v>27.7</v>
      </c>
      <c r="I44" s="4">
        <v>33.4</v>
      </c>
      <c r="J44" s="4">
        <v>23.6</v>
      </c>
      <c r="K44" s="7">
        <v>1.2</v>
      </c>
      <c r="L44" s="7">
        <v>85</v>
      </c>
      <c r="M44" s="51"/>
      <c r="N44" s="4">
        <v>1010.4250000000002</v>
      </c>
      <c r="O44" s="7">
        <v>81.794610542592977</v>
      </c>
      <c r="P44" s="7">
        <v>42.729913442212826</v>
      </c>
      <c r="Q44" s="7">
        <v>71.204818603287507</v>
      </c>
      <c r="R44" s="8">
        <v>69.380988282671566</v>
      </c>
      <c r="S44" s="25">
        <v>4.4285714285714288</v>
      </c>
      <c r="T44" s="24">
        <v>180</v>
      </c>
      <c r="U44" s="7">
        <v>7</v>
      </c>
      <c r="V44" s="3">
        <v>0</v>
      </c>
    </row>
    <row r="45" spans="1:22" s="53" customFormat="1" x14ac:dyDescent="0.35">
      <c r="A45" s="2">
        <v>42626</v>
      </c>
      <c r="B45" s="3">
        <f t="shared" si="3"/>
        <v>2016</v>
      </c>
      <c r="C45" s="3">
        <f t="shared" si="4"/>
        <v>9</v>
      </c>
      <c r="D45" s="3">
        <f t="shared" si="5"/>
        <v>13</v>
      </c>
      <c r="E45" s="23">
        <v>24.6</v>
      </c>
      <c r="F45" s="23">
        <v>31.6</v>
      </c>
      <c r="G45" s="23">
        <v>29.2</v>
      </c>
      <c r="H45" s="34">
        <v>27.500000000000004</v>
      </c>
      <c r="I45" s="4">
        <v>31.8</v>
      </c>
      <c r="J45" s="4">
        <v>23.8</v>
      </c>
      <c r="K45" s="7" t="s">
        <v>9</v>
      </c>
      <c r="L45" s="7">
        <v>100</v>
      </c>
      <c r="M45" s="51"/>
      <c r="N45" s="4">
        <v>1010.7500000000001</v>
      </c>
      <c r="O45" s="7">
        <v>75.626910217521214</v>
      </c>
      <c r="P45" s="7">
        <v>49.973066932987919</v>
      </c>
      <c r="Q45" s="7">
        <v>65.941533517765279</v>
      </c>
      <c r="R45" s="8">
        <v>66.792105221448907</v>
      </c>
      <c r="S45" s="25">
        <v>6.0714285714285712</v>
      </c>
      <c r="T45" s="24">
        <v>180</v>
      </c>
      <c r="U45" s="7">
        <v>11</v>
      </c>
      <c r="V45" s="3">
        <v>0</v>
      </c>
    </row>
    <row r="46" spans="1:22" s="53" customFormat="1" x14ac:dyDescent="0.35">
      <c r="A46" s="2">
        <v>42627</v>
      </c>
      <c r="B46" s="3">
        <f t="shared" si="3"/>
        <v>2016</v>
      </c>
      <c r="C46" s="3">
        <f t="shared" si="4"/>
        <v>9</v>
      </c>
      <c r="D46" s="3">
        <f t="shared" si="5"/>
        <v>14</v>
      </c>
      <c r="E46" s="23">
        <v>23.8</v>
      </c>
      <c r="F46" s="23">
        <v>30.6</v>
      </c>
      <c r="G46" s="23">
        <v>29</v>
      </c>
      <c r="H46" s="34">
        <v>26.8</v>
      </c>
      <c r="I46" s="4">
        <v>31.4</v>
      </c>
      <c r="J46" s="4">
        <v>23.8</v>
      </c>
      <c r="K46" s="7" t="s">
        <v>9</v>
      </c>
      <c r="L46" s="7">
        <v>100</v>
      </c>
      <c r="M46" s="51"/>
      <c r="N46" s="4">
        <v>1010.2291666666666</v>
      </c>
      <c r="O46" s="7">
        <v>90.581526360953063</v>
      </c>
      <c r="P46" s="7">
        <v>65.643049648534173</v>
      </c>
      <c r="Q46" s="7">
        <v>72.438594315204682</v>
      </c>
      <c r="R46" s="8">
        <v>79.811174171411238</v>
      </c>
      <c r="S46" s="25">
        <v>5.55</v>
      </c>
      <c r="T46" s="24">
        <v>180</v>
      </c>
      <c r="U46" s="7">
        <v>12</v>
      </c>
      <c r="V46" s="3">
        <v>0</v>
      </c>
    </row>
    <row r="47" spans="1:22" s="53" customFormat="1" x14ac:dyDescent="0.35">
      <c r="A47" s="2">
        <v>42628</v>
      </c>
      <c r="B47" s="3">
        <f t="shared" si="3"/>
        <v>2016</v>
      </c>
      <c r="C47" s="3">
        <f t="shared" si="4"/>
        <v>9</v>
      </c>
      <c r="D47" s="3">
        <f t="shared" si="5"/>
        <v>15</v>
      </c>
      <c r="E47" s="23">
        <v>24.7</v>
      </c>
      <c r="F47" s="23">
        <v>31.4</v>
      </c>
      <c r="G47" s="23">
        <v>29.4</v>
      </c>
      <c r="H47" s="34">
        <v>27.549999999999997</v>
      </c>
      <c r="I47" s="4">
        <v>31.6</v>
      </c>
      <c r="J47" s="4">
        <v>24.7</v>
      </c>
      <c r="K47" s="7">
        <v>0</v>
      </c>
      <c r="L47" s="7">
        <v>100</v>
      </c>
      <c r="M47" s="51"/>
      <c r="N47" s="4">
        <v>1010.3166666666666</v>
      </c>
      <c r="O47" s="7">
        <v>89.960437463491658</v>
      </c>
      <c r="P47" s="7">
        <v>62.510466394920236</v>
      </c>
      <c r="Q47" s="7">
        <v>72.664901408026054</v>
      </c>
      <c r="R47" s="8">
        <v>78.7740606824824</v>
      </c>
      <c r="S47" s="25">
        <v>10.454545454545455</v>
      </c>
      <c r="T47" s="24">
        <v>60</v>
      </c>
      <c r="U47" s="7">
        <v>99</v>
      </c>
      <c r="V47" s="3">
        <v>0</v>
      </c>
    </row>
    <row r="48" spans="1:22" s="53" customFormat="1" x14ac:dyDescent="0.35">
      <c r="A48" s="2">
        <v>42629</v>
      </c>
      <c r="B48" s="3">
        <f t="shared" si="3"/>
        <v>2016</v>
      </c>
      <c r="C48" s="3">
        <f t="shared" si="4"/>
        <v>9</v>
      </c>
      <c r="D48" s="3">
        <f t="shared" si="5"/>
        <v>16</v>
      </c>
      <c r="E48" s="23">
        <v>25.8</v>
      </c>
      <c r="F48" s="23">
        <v>30.4</v>
      </c>
      <c r="G48" s="23">
        <v>29.2</v>
      </c>
      <c r="H48" s="34">
        <v>27.8</v>
      </c>
      <c r="I48" s="4">
        <v>31.3</v>
      </c>
      <c r="J48" s="4">
        <v>25.8</v>
      </c>
      <c r="K48" s="7" t="s">
        <v>9</v>
      </c>
      <c r="L48" s="7">
        <v>100</v>
      </c>
      <c r="M48" s="51"/>
      <c r="N48" s="4">
        <v>1009.4500000000003</v>
      </c>
      <c r="O48" s="7">
        <v>88.624349494284345</v>
      </c>
      <c r="P48" s="7">
        <v>72.555142367613527</v>
      </c>
      <c r="Q48" s="7">
        <v>76.642135833500674</v>
      </c>
      <c r="R48" s="8">
        <v>81.61149429742072</v>
      </c>
      <c r="S48" s="25">
        <v>6.5263157894736841</v>
      </c>
      <c r="T48" s="24">
        <v>40</v>
      </c>
      <c r="U48" s="7">
        <v>11</v>
      </c>
      <c r="V48" s="3">
        <v>0</v>
      </c>
    </row>
    <row r="49" spans="1:22" s="53" customFormat="1" x14ac:dyDescent="0.35">
      <c r="A49" s="2">
        <v>42630</v>
      </c>
      <c r="B49" s="3">
        <f t="shared" si="3"/>
        <v>2016</v>
      </c>
      <c r="C49" s="3">
        <f t="shared" si="4"/>
        <v>9</v>
      </c>
      <c r="D49" s="3">
        <f t="shared" si="5"/>
        <v>17</v>
      </c>
      <c r="E49" s="23">
        <v>27.4</v>
      </c>
      <c r="F49" s="23">
        <v>31.2</v>
      </c>
      <c r="G49" s="23">
        <v>29.6</v>
      </c>
      <c r="H49" s="34">
        <v>28.9</v>
      </c>
      <c r="I49" s="4">
        <v>31.4</v>
      </c>
      <c r="J49" s="4">
        <v>25.3</v>
      </c>
      <c r="K49" s="40">
        <v>6.4</v>
      </c>
      <c r="L49" s="7">
        <v>100</v>
      </c>
      <c r="M49" s="51"/>
      <c r="N49" s="4">
        <v>1009.5708333333332</v>
      </c>
      <c r="O49" s="7">
        <v>83.000776099697532</v>
      </c>
      <c r="P49" s="7">
        <v>67.281185436349276</v>
      </c>
      <c r="Q49" s="7">
        <v>73.447999766118187</v>
      </c>
      <c r="R49" s="8">
        <v>76.682684350465635</v>
      </c>
      <c r="S49" s="25">
        <v>5.5238095238095237</v>
      </c>
      <c r="T49" s="24">
        <v>50</v>
      </c>
      <c r="U49" s="7">
        <v>11</v>
      </c>
      <c r="V49" s="3">
        <v>0</v>
      </c>
    </row>
    <row r="50" spans="1:22" s="53" customFormat="1" x14ac:dyDescent="0.35">
      <c r="A50" s="2">
        <v>42631</v>
      </c>
      <c r="B50" s="3">
        <f t="shared" si="3"/>
        <v>2016</v>
      </c>
      <c r="C50" s="3">
        <f t="shared" si="4"/>
        <v>9</v>
      </c>
      <c r="D50" s="3">
        <f t="shared" si="5"/>
        <v>18</v>
      </c>
      <c r="E50" s="23">
        <v>25.6</v>
      </c>
      <c r="F50" s="23">
        <v>31</v>
      </c>
      <c r="G50" s="23">
        <v>29</v>
      </c>
      <c r="H50" s="34">
        <v>27.8</v>
      </c>
      <c r="I50" s="4">
        <v>31.3</v>
      </c>
      <c r="J50" s="4">
        <v>25.4</v>
      </c>
      <c r="K50" s="7">
        <v>0</v>
      </c>
      <c r="L50" s="7">
        <v>100</v>
      </c>
      <c r="M50" s="51"/>
      <c r="N50" s="4">
        <v>1009.6458333333334</v>
      </c>
      <c r="O50" s="7">
        <v>91.781109970907252</v>
      </c>
      <c r="P50" s="7">
        <v>68.406035922228369</v>
      </c>
      <c r="Q50" s="7">
        <v>75.162710805095784</v>
      </c>
      <c r="R50" s="8">
        <v>81.782741667284668</v>
      </c>
      <c r="S50" s="25">
        <v>5.4117647058823533</v>
      </c>
      <c r="T50" s="24">
        <v>70</v>
      </c>
      <c r="U50" s="7">
        <v>9</v>
      </c>
      <c r="V50" s="3">
        <v>0</v>
      </c>
    </row>
    <row r="51" spans="1:22" s="53" customFormat="1" x14ac:dyDescent="0.35">
      <c r="A51" s="2">
        <v>42632</v>
      </c>
      <c r="B51" s="3">
        <f t="shared" si="3"/>
        <v>2016</v>
      </c>
      <c r="C51" s="3">
        <f t="shared" si="4"/>
        <v>9</v>
      </c>
      <c r="D51" s="3">
        <f t="shared" si="5"/>
        <v>19</v>
      </c>
      <c r="E51" s="23">
        <v>25.8</v>
      </c>
      <c r="F51" s="23">
        <v>31</v>
      </c>
      <c r="G51" s="23">
        <v>29</v>
      </c>
      <c r="H51" s="34">
        <v>27.9</v>
      </c>
      <c r="I51" s="4">
        <v>31.4</v>
      </c>
      <c r="J51" s="4">
        <v>25.6</v>
      </c>
      <c r="K51" s="7" t="s">
        <v>9</v>
      </c>
      <c r="L51" s="7">
        <v>100</v>
      </c>
      <c r="M51" s="51"/>
      <c r="N51" s="4">
        <v>1008.7083333333334</v>
      </c>
      <c r="O51" s="7">
        <v>91.818878055394904</v>
      </c>
      <c r="P51" s="7">
        <v>68.415797809879066</v>
      </c>
      <c r="Q51" s="7">
        <v>76.547291380958114</v>
      </c>
      <c r="R51" s="8">
        <v>82.150211325406758</v>
      </c>
      <c r="S51" s="25">
        <v>5.2</v>
      </c>
      <c r="T51" s="24">
        <v>40</v>
      </c>
      <c r="U51" s="7">
        <v>10</v>
      </c>
      <c r="V51" s="3">
        <v>0</v>
      </c>
    </row>
    <row r="52" spans="1:22" s="53" customFormat="1" x14ac:dyDescent="0.35">
      <c r="A52" s="2">
        <v>42633</v>
      </c>
      <c r="B52" s="3">
        <f t="shared" si="3"/>
        <v>2016</v>
      </c>
      <c r="C52" s="3">
        <f t="shared" si="4"/>
        <v>9</v>
      </c>
      <c r="D52" s="3">
        <f t="shared" si="5"/>
        <v>20</v>
      </c>
      <c r="E52" s="23">
        <v>26.6</v>
      </c>
      <c r="F52" s="23">
        <v>30.8</v>
      </c>
      <c r="G52" s="23">
        <v>29</v>
      </c>
      <c r="H52" s="34">
        <v>28.25</v>
      </c>
      <c r="I52" s="4">
        <v>31.2</v>
      </c>
      <c r="J52" s="4">
        <v>25.4</v>
      </c>
      <c r="K52" s="7" t="s">
        <v>9</v>
      </c>
      <c r="L52" s="7">
        <v>100</v>
      </c>
      <c r="M52" s="51"/>
      <c r="N52" s="4">
        <v>1008.7875000000003</v>
      </c>
      <c r="O52" s="7">
        <v>87.280523237282509</v>
      </c>
      <c r="P52" s="7">
        <v>68.286233182009809</v>
      </c>
      <c r="Q52" s="7">
        <v>76.546021994244853</v>
      </c>
      <c r="R52" s="8">
        <v>79.848325412704924</v>
      </c>
      <c r="S52" s="25">
        <v>4.2272727272727275</v>
      </c>
      <c r="T52" s="24">
        <v>60</v>
      </c>
      <c r="U52" s="7">
        <v>8</v>
      </c>
      <c r="V52" s="3">
        <v>0</v>
      </c>
    </row>
    <row r="53" spans="1:22" s="53" customFormat="1" x14ac:dyDescent="0.35">
      <c r="A53" s="2">
        <v>42634</v>
      </c>
      <c r="B53" s="3">
        <f t="shared" si="3"/>
        <v>2016</v>
      </c>
      <c r="C53" s="3">
        <f t="shared" si="4"/>
        <v>9</v>
      </c>
      <c r="D53" s="3">
        <f t="shared" si="5"/>
        <v>21</v>
      </c>
      <c r="E53" s="23">
        <v>26.2</v>
      </c>
      <c r="F53" s="23">
        <v>31.4</v>
      </c>
      <c r="G53" s="23">
        <v>29</v>
      </c>
      <c r="H53" s="34">
        <v>28.2</v>
      </c>
      <c r="I53" s="4">
        <v>31.9</v>
      </c>
      <c r="J53" s="4">
        <v>26</v>
      </c>
      <c r="K53" s="7" t="s">
        <v>9</v>
      </c>
      <c r="L53" s="7">
        <v>83.75</v>
      </c>
      <c r="M53" s="51"/>
      <c r="N53" s="4">
        <v>1009.9124999999999</v>
      </c>
      <c r="O53" s="7">
        <v>88.729615915031559</v>
      </c>
      <c r="P53" s="7">
        <v>69.274610713489963</v>
      </c>
      <c r="Q53" s="7">
        <v>76.532693433755583</v>
      </c>
      <c r="R53" s="8">
        <v>80.816633994327162</v>
      </c>
      <c r="S53" s="25">
        <v>5.7727272727272725</v>
      </c>
      <c r="T53" s="24">
        <v>60</v>
      </c>
      <c r="U53" s="7">
        <v>10</v>
      </c>
      <c r="V53" s="3">
        <v>0</v>
      </c>
    </row>
    <row r="54" spans="1:22" s="53" customFormat="1" x14ac:dyDescent="0.35">
      <c r="A54" s="2">
        <v>42635</v>
      </c>
      <c r="B54" s="3">
        <f t="shared" si="3"/>
        <v>2016</v>
      </c>
      <c r="C54" s="3">
        <f t="shared" si="4"/>
        <v>9</v>
      </c>
      <c r="D54" s="3">
        <f t="shared" si="5"/>
        <v>22</v>
      </c>
      <c r="E54" s="23">
        <v>26</v>
      </c>
      <c r="F54" s="23">
        <v>30.7</v>
      </c>
      <c r="G54" s="23">
        <v>29.4</v>
      </c>
      <c r="H54" s="34">
        <v>28.024999999999999</v>
      </c>
      <c r="I54" s="4">
        <v>31.2</v>
      </c>
      <c r="J54" s="4">
        <v>25.1</v>
      </c>
      <c r="K54" s="7" t="s">
        <v>9</v>
      </c>
      <c r="L54" s="7">
        <v>100</v>
      </c>
      <c r="M54" s="51"/>
      <c r="N54" s="4">
        <v>1010.1416666666664</v>
      </c>
      <c r="O54" s="7">
        <v>91.054725174970002</v>
      </c>
      <c r="P54" s="7">
        <v>69.488069557843403</v>
      </c>
      <c r="Q54" s="7">
        <v>73.334756559180704</v>
      </c>
      <c r="R54" s="8">
        <v>81.233069116741035</v>
      </c>
      <c r="S54" s="25">
        <v>4.4545454545454541</v>
      </c>
      <c r="T54" s="24">
        <v>50</v>
      </c>
      <c r="U54" s="7">
        <v>9</v>
      </c>
      <c r="V54" s="3">
        <v>0</v>
      </c>
    </row>
    <row r="55" spans="1:22" s="53" customFormat="1" x14ac:dyDescent="0.35">
      <c r="A55" s="2">
        <v>42636</v>
      </c>
      <c r="B55" s="3">
        <f t="shared" si="3"/>
        <v>2016</v>
      </c>
      <c r="C55" s="3">
        <f t="shared" si="4"/>
        <v>9</v>
      </c>
      <c r="D55" s="3">
        <f t="shared" si="5"/>
        <v>23</v>
      </c>
      <c r="E55" s="23">
        <v>25.4</v>
      </c>
      <c r="F55" s="23">
        <v>31.1</v>
      </c>
      <c r="G55" s="23">
        <v>29.8</v>
      </c>
      <c r="H55" s="34">
        <v>27.925000000000001</v>
      </c>
      <c r="I55" s="4">
        <v>31.5</v>
      </c>
      <c r="J55" s="4">
        <v>24.8</v>
      </c>
      <c r="K55" s="7">
        <v>16.599999999999998</v>
      </c>
      <c r="L55" s="7">
        <v>100</v>
      </c>
      <c r="M55" s="51"/>
      <c r="N55" s="4">
        <v>1008.9416666666666</v>
      </c>
      <c r="O55" s="7">
        <v>91.742679466356677</v>
      </c>
      <c r="P55" s="7">
        <v>69.107945211159247</v>
      </c>
      <c r="Q55" s="7">
        <v>70.91018698007629</v>
      </c>
      <c r="R55" s="8">
        <v>80.875872780987223</v>
      </c>
      <c r="S55" s="25">
        <v>4.6190476190476186</v>
      </c>
      <c r="T55" s="24">
        <v>50</v>
      </c>
      <c r="U55" s="7">
        <v>11</v>
      </c>
      <c r="V55" s="3">
        <v>0</v>
      </c>
    </row>
    <row r="56" spans="1:22" s="53" customFormat="1" x14ac:dyDescent="0.35">
      <c r="A56" s="2">
        <v>42637</v>
      </c>
      <c r="B56" s="3">
        <f t="shared" si="3"/>
        <v>2016</v>
      </c>
      <c r="C56" s="3">
        <f t="shared" si="4"/>
        <v>9</v>
      </c>
      <c r="D56" s="3">
        <f t="shared" si="5"/>
        <v>24</v>
      </c>
      <c r="E56" s="23">
        <v>25</v>
      </c>
      <c r="F56" s="23">
        <v>30</v>
      </c>
      <c r="G56" s="23">
        <v>27.4</v>
      </c>
      <c r="H56" s="34">
        <v>26.85</v>
      </c>
      <c r="I56" s="4">
        <v>31</v>
      </c>
      <c r="J56" s="4">
        <v>24.2</v>
      </c>
      <c r="K56" s="7">
        <v>0.4</v>
      </c>
      <c r="L56" s="7">
        <v>58.75</v>
      </c>
      <c r="M56" s="51"/>
      <c r="N56" s="4">
        <v>1008.6250000000001</v>
      </c>
      <c r="O56" s="7">
        <v>93.310321261527093</v>
      </c>
      <c r="P56" s="7">
        <v>72.997505157186282</v>
      </c>
      <c r="Q56" s="7">
        <v>79.339456730366081</v>
      </c>
      <c r="R56" s="8">
        <v>84.739401102651627</v>
      </c>
      <c r="S56" s="25" t="e">
        <v>#N/A</v>
      </c>
      <c r="T56" s="24">
        <v>200</v>
      </c>
      <c r="U56" s="7" t="e">
        <v>#N/A</v>
      </c>
      <c r="V56" s="3">
        <v>0</v>
      </c>
    </row>
    <row r="57" spans="1:22" s="53" customFormat="1" x14ac:dyDescent="0.35">
      <c r="A57" s="2">
        <v>42638</v>
      </c>
      <c r="B57" s="3">
        <f t="shared" si="3"/>
        <v>2016</v>
      </c>
      <c r="C57" s="3">
        <f t="shared" si="4"/>
        <v>9</v>
      </c>
      <c r="D57" s="3">
        <f t="shared" si="5"/>
        <v>25</v>
      </c>
      <c r="E57" s="23">
        <v>24.9</v>
      </c>
      <c r="F57" s="23">
        <v>30.5</v>
      </c>
      <c r="G57" s="23">
        <v>29</v>
      </c>
      <c r="H57" s="34">
        <v>27.324999999999999</v>
      </c>
      <c r="I57" s="4">
        <v>31</v>
      </c>
      <c r="J57" s="4">
        <v>23.8</v>
      </c>
      <c r="K57" s="7">
        <v>0</v>
      </c>
      <c r="L57" s="7">
        <v>93.75</v>
      </c>
      <c r="M57" s="51"/>
      <c r="N57" s="4">
        <v>1008.6374999999999</v>
      </c>
      <c r="O57" s="7">
        <v>89.201302336235855</v>
      </c>
      <c r="P57" s="7">
        <v>68.739033498349585</v>
      </c>
      <c r="Q57" s="7">
        <v>75.170128783701415</v>
      </c>
      <c r="R57" s="8">
        <v>80.57794173863067</v>
      </c>
      <c r="S57" s="25">
        <v>4.5</v>
      </c>
      <c r="T57" s="24">
        <v>160</v>
      </c>
      <c r="U57" s="7">
        <v>10</v>
      </c>
      <c r="V57" s="3">
        <v>0</v>
      </c>
    </row>
    <row r="58" spans="1:22" s="53" customFormat="1" x14ac:dyDescent="0.35">
      <c r="A58" s="2">
        <v>42639</v>
      </c>
      <c r="B58" s="3">
        <f t="shared" si="3"/>
        <v>2016</v>
      </c>
      <c r="C58" s="3">
        <f t="shared" si="4"/>
        <v>9</v>
      </c>
      <c r="D58" s="3">
        <f t="shared" si="5"/>
        <v>26</v>
      </c>
      <c r="E58" s="23">
        <v>26</v>
      </c>
      <c r="F58" s="23">
        <v>31</v>
      </c>
      <c r="G58" s="23">
        <v>28.2</v>
      </c>
      <c r="H58" s="34">
        <v>27.8</v>
      </c>
      <c r="I58" s="4">
        <v>31.8</v>
      </c>
      <c r="J58" s="4">
        <v>24.8</v>
      </c>
      <c r="K58" s="7" t="s">
        <v>9</v>
      </c>
      <c r="L58" s="7">
        <v>75</v>
      </c>
      <c r="M58" s="51"/>
      <c r="N58" s="4">
        <v>1009.4000000000001</v>
      </c>
      <c r="O58" s="7">
        <v>90.261459997202806</v>
      </c>
      <c r="P58" s="7">
        <v>65.913109949619638</v>
      </c>
      <c r="Q58" s="7">
        <v>74.741392694250379</v>
      </c>
      <c r="R58" s="8">
        <v>80.294355659568907</v>
      </c>
      <c r="S58" s="25">
        <v>4.6315789473684212</v>
      </c>
      <c r="T58" s="24">
        <v>60</v>
      </c>
      <c r="U58" s="7">
        <v>9</v>
      </c>
      <c r="V58" s="3">
        <v>0</v>
      </c>
    </row>
    <row r="59" spans="1:22" s="53" customFormat="1" x14ac:dyDescent="0.35">
      <c r="A59" s="2">
        <v>42640</v>
      </c>
      <c r="B59" s="3">
        <f t="shared" si="3"/>
        <v>2016</v>
      </c>
      <c r="C59" s="3">
        <f t="shared" si="4"/>
        <v>9</v>
      </c>
      <c r="D59" s="3">
        <f t="shared" si="5"/>
        <v>27</v>
      </c>
      <c r="E59" s="23">
        <v>25.4</v>
      </c>
      <c r="F59" s="23">
        <v>30.8</v>
      </c>
      <c r="G59" s="23">
        <v>29.8</v>
      </c>
      <c r="H59" s="34">
        <v>27.849999999999998</v>
      </c>
      <c r="I59" s="4">
        <v>31.4</v>
      </c>
      <c r="J59" s="4">
        <v>23.6</v>
      </c>
      <c r="K59" s="7">
        <v>17.100000000000001</v>
      </c>
      <c r="L59" s="7">
        <v>93.75</v>
      </c>
      <c r="M59" s="51"/>
      <c r="N59" s="4">
        <v>1009.3166666666666</v>
      </c>
      <c r="O59" s="7">
        <v>86.926054504405883</v>
      </c>
      <c r="P59" s="7">
        <v>73.420339402278842</v>
      </c>
      <c r="Q59" s="7">
        <v>75.572000271362882</v>
      </c>
      <c r="R59" s="8">
        <v>80.711112170613376</v>
      </c>
      <c r="S59" s="25">
        <v>4.9473684210526319</v>
      </c>
      <c r="T59" s="24">
        <v>40</v>
      </c>
      <c r="U59" s="7">
        <v>8</v>
      </c>
      <c r="V59" s="3">
        <v>0</v>
      </c>
    </row>
    <row r="60" spans="1:22" s="53" customFormat="1" x14ac:dyDescent="0.35">
      <c r="A60" s="2">
        <v>42641</v>
      </c>
      <c r="B60" s="3">
        <f t="shared" si="3"/>
        <v>2016</v>
      </c>
      <c r="C60" s="3">
        <f t="shared" si="4"/>
        <v>9</v>
      </c>
      <c r="D60" s="3">
        <f t="shared" si="5"/>
        <v>28</v>
      </c>
      <c r="E60" s="23">
        <v>24.2</v>
      </c>
      <c r="F60" s="23">
        <v>30.8</v>
      </c>
      <c r="G60" s="23">
        <v>29.4</v>
      </c>
      <c r="H60" s="34">
        <v>27.15</v>
      </c>
      <c r="I60" s="4">
        <v>31.2</v>
      </c>
      <c r="J60" s="4">
        <v>24.2</v>
      </c>
      <c r="K60" s="7">
        <v>2.5</v>
      </c>
      <c r="L60" s="7">
        <v>68.75</v>
      </c>
      <c r="M60" s="51"/>
      <c r="N60" s="4">
        <v>1009.5083333333333</v>
      </c>
      <c r="O60" s="7">
        <v>94.866568841761051</v>
      </c>
      <c r="P60" s="7">
        <v>69.553865169664647</v>
      </c>
      <c r="Q60" s="7">
        <v>72.669320420181975</v>
      </c>
      <c r="R60" s="8">
        <v>82.989080818342188</v>
      </c>
      <c r="S60" s="25">
        <v>4.2727272727272725</v>
      </c>
      <c r="T60" s="24">
        <v>200</v>
      </c>
      <c r="U60" s="7">
        <v>9</v>
      </c>
      <c r="V60" s="3">
        <v>0</v>
      </c>
    </row>
    <row r="61" spans="1:22" s="53" customFormat="1" x14ac:dyDescent="0.35">
      <c r="A61" s="2">
        <v>42642</v>
      </c>
      <c r="B61" s="3">
        <f t="shared" si="3"/>
        <v>2016</v>
      </c>
      <c r="C61" s="3">
        <f t="shared" si="4"/>
        <v>9</v>
      </c>
      <c r="D61" s="3">
        <f t="shared" si="5"/>
        <v>29</v>
      </c>
      <c r="E61" s="23">
        <v>26.6</v>
      </c>
      <c r="F61" s="23">
        <v>31</v>
      </c>
      <c r="G61" s="23">
        <v>29.8</v>
      </c>
      <c r="H61" s="34">
        <v>28.5</v>
      </c>
      <c r="I61" s="4">
        <v>31.8</v>
      </c>
      <c r="J61" s="4">
        <v>25.4</v>
      </c>
      <c r="K61" s="7">
        <v>0</v>
      </c>
      <c r="L61" s="7">
        <v>100</v>
      </c>
      <c r="M61" s="51"/>
      <c r="N61" s="4">
        <v>1009.0083333333332</v>
      </c>
      <c r="O61" s="7">
        <v>90.391130587189565</v>
      </c>
      <c r="P61" s="7">
        <v>70.949955063981179</v>
      </c>
      <c r="Q61" s="7">
        <v>71.57302756097026</v>
      </c>
      <c r="R61" s="8">
        <v>80.826310949832646</v>
      </c>
      <c r="S61" s="25">
        <v>5.1111111111111107</v>
      </c>
      <c r="T61" s="24">
        <v>50</v>
      </c>
      <c r="U61" s="7">
        <v>11</v>
      </c>
      <c r="V61" s="3">
        <v>0</v>
      </c>
    </row>
    <row r="62" spans="1:22" s="53" customFormat="1" x14ac:dyDescent="0.35">
      <c r="A62" s="2">
        <v>42643</v>
      </c>
      <c r="B62" s="3">
        <f t="shared" si="3"/>
        <v>2016</v>
      </c>
      <c r="C62" s="3">
        <f t="shared" si="4"/>
        <v>9</v>
      </c>
      <c r="D62" s="3">
        <f t="shared" si="5"/>
        <v>30</v>
      </c>
      <c r="E62" s="23">
        <v>28.6</v>
      </c>
      <c r="F62" s="23">
        <v>31.4</v>
      </c>
      <c r="G62" s="23">
        <v>29.2</v>
      </c>
      <c r="H62" s="34">
        <v>29.45</v>
      </c>
      <c r="I62" s="4">
        <v>31.8</v>
      </c>
      <c r="J62" s="4">
        <v>24.6</v>
      </c>
      <c r="K62" s="7" t="s">
        <v>9</v>
      </c>
      <c r="L62" s="7">
        <v>100</v>
      </c>
      <c r="M62" s="51"/>
      <c r="N62" s="4">
        <v>1008.6166666666667</v>
      </c>
      <c r="O62" s="7">
        <v>76.338452299764953</v>
      </c>
      <c r="P62" s="7">
        <v>67.415848659675973</v>
      </c>
      <c r="Q62" s="7">
        <v>73.913968368399821</v>
      </c>
      <c r="R62" s="8">
        <v>73.501680406901428</v>
      </c>
      <c r="S62" s="25">
        <v>6.166666666666667</v>
      </c>
      <c r="T62" s="24">
        <v>30</v>
      </c>
      <c r="U62" s="7">
        <v>12</v>
      </c>
      <c r="V62" s="3">
        <v>0</v>
      </c>
    </row>
    <row r="63" spans="1:22" s="53" customFormat="1" x14ac:dyDescent="0.35">
      <c r="A63" s="2">
        <v>42644</v>
      </c>
      <c r="B63" s="3">
        <f t="shared" si="3"/>
        <v>2016</v>
      </c>
      <c r="C63" s="3">
        <f t="shared" si="4"/>
        <v>10</v>
      </c>
      <c r="D63" s="3">
        <f t="shared" si="5"/>
        <v>1</v>
      </c>
      <c r="E63" s="44">
        <v>28</v>
      </c>
      <c r="F63" s="44">
        <v>31.4</v>
      </c>
      <c r="G63" s="44">
        <v>30</v>
      </c>
      <c r="H63" s="34">
        <v>29.35</v>
      </c>
      <c r="I63" s="44">
        <v>31.6</v>
      </c>
      <c r="J63" s="44">
        <v>24.6</v>
      </c>
      <c r="K63" s="52" t="e">
        <v>#REF!</v>
      </c>
      <c r="L63" s="52">
        <v>100</v>
      </c>
      <c r="M63" s="51"/>
      <c r="N63" s="44" t="e">
        <v>#REF!</v>
      </c>
      <c r="O63" s="52">
        <v>100</v>
      </c>
      <c r="P63" s="52">
        <v>67.410870000901625</v>
      </c>
      <c r="Q63" s="52">
        <v>70.376989281978638</v>
      </c>
      <c r="R63" s="8">
        <v>84.446964820720069</v>
      </c>
      <c r="S63" s="52">
        <v>5</v>
      </c>
      <c r="T63" s="51" t="e">
        <v>#N/A</v>
      </c>
      <c r="U63" s="52">
        <v>13</v>
      </c>
      <c r="V63" s="51">
        <v>0</v>
      </c>
    </row>
    <row r="64" spans="1:22" s="53" customFormat="1" x14ac:dyDescent="0.35">
      <c r="A64" s="2">
        <v>42645</v>
      </c>
      <c r="B64" s="3">
        <f t="shared" si="3"/>
        <v>2016</v>
      </c>
      <c r="C64" s="3">
        <f t="shared" si="4"/>
        <v>10</v>
      </c>
      <c r="D64" s="3">
        <f t="shared" si="5"/>
        <v>2</v>
      </c>
      <c r="E64" s="44">
        <v>25.2</v>
      </c>
      <c r="F64" s="44">
        <v>31</v>
      </c>
      <c r="G64" s="44">
        <v>28</v>
      </c>
      <c r="H64" s="34">
        <v>27.35</v>
      </c>
      <c r="I64" s="44">
        <v>31.8</v>
      </c>
      <c r="J64" s="44">
        <v>24.6</v>
      </c>
      <c r="K64" s="52" t="s">
        <v>9</v>
      </c>
      <c r="L64" s="52">
        <v>85</v>
      </c>
      <c r="M64" s="51"/>
      <c r="N64" s="44">
        <v>1010.1375000000002</v>
      </c>
      <c r="O64" s="52">
        <v>93.339222015572759</v>
      </c>
      <c r="P64" s="52">
        <v>65.90515188903484</v>
      </c>
      <c r="Q64" s="52">
        <v>78.871652890365723</v>
      </c>
      <c r="R64" s="8">
        <v>82.863812202636524</v>
      </c>
      <c r="S64" s="52">
        <v>6.2105263157894735</v>
      </c>
      <c r="T64" s="51">
        <v>190</v>
      </c>
      <c r="U64" s="52">
        <v>22</v>
      </c>
      <c r="V64" s="51">
        <v>0</v>
      </c>
    </row>
    <row r="65" spans="1:22" s="53" customFormat="1" x14ac:dyDescent="0.35">
      <c r="A65" s="2">
        <v>42646</v>
      </c>
      <c r="B65" s="3">
        <f t="shared" si="3"/>
        <v>2016</v>
      </c>
      <c r="C65" s="3">
        <f t="shared" si="4"/>
        <v>10</v>
      </c>
      <c r="D65" s="3">
        <f t="shared" si="5"/>
        <v>3</v>
      </c>
      <c r="E65" s="44">
        <v>24.8</v>
      </c>
      <c r="F65" s="44">
        <v>32.700000000000003</v>
      </c>
      <c r="G65" s="44">
        <v>30</v>
      </c>
      <c r="H65" s="34">
        <v>28.075000000000003</v>
      </c>
      <c r="I65" s="44">
        <v>30.6</v>
      </c>
      <c r="J65" s="44">
        <v>24.8</v>
      </c>
      <c r="K65" s="52" t="s">
        <v>9</v>
      </c>
      <c r="L65" s="52">
        <v>100</v>
      </c>
      <c r="M65" s="51"/>
      <c r="N65" s="44">
        <v>1009.1291666666666</v>
      </c>
      <c r="O65" s="52">
        <v>93.277068154343041</v>
      </c>
      <c r="P65" s="52">
        <v>59.39409838405173</v>
      </c>
      <c r="Q65" s="52">
        <v>73.008178145077196</v>
      </c>
      <c r="R65" s="8">
        <v>79.739103209453745</v>
      </c>
      <c r="S65" s="52">
        <v>5.2941176470588234</v>
      </c>
      <c r="T65" s="51">
        <v>210</v>
      </c>
      <c r="U65" s="52">
        <v>20</v>
      </c>
      <c r="V65" s="51">
        <v>0</v>
      </c>
    </row>
    <row r="66" spans="1:22" s="53" customFormat="1" x14ac:dyDescent="0.35">
      <c r="A66" s="2">
        <v>42647</v>
      </c>
      <c r="B66" s="3">
        <f t="shared" si="3"/>
        <v>2016</v>
      </c>
      <c r="C66" s="3">
        <f t="shared" si="4"/>
        <v>10</v>
      </c>
      <c r="D66" s="3">
        <f t="shared" si="5"/>
        <v>4</v>
      </c>
      <c r="E66" s="44">
        <v>26.1</v>
      </c>
      <c r="F66" s="44">
        <v>30.2</v>
      </c>
      <c r="G66" s="44">
        <v>29.4</v>
      </c>
      <c r="H66" s="34">
        <v>27.950000000000003</v>
      </c>
      <c r="I66" s="44">
        <v>31.3</v>
      </c>
      <c r="J66" s="44">
        <v>25</v>
      </c>
      <c r="K66" s="52" t="s">
        <v>9</v>
      </c>
      <c r="L66" s="52">
        <v>66.25</v>
      </c>
      <c r="M66" s="51"/>
      <c r="N66" s="44">
        <v>1008.520833333333</v>
      </c>
      <c r="O66" s="52">
        <v>87.922810497632739</v>
      </c>
      <c r="P66" s="52">
        <v>70.492949281320989</v>
      </c>
      <c r="Q66" s="52">
        <v>73.341927763117937</v>
      </c>
      <c r="R66" s="8">
        <v>79.920124509926097</v>
      </c>
      <c r="S66" s="52">
        <v>4.3076923076923075</v>
      </c>
      <c r="T66" s="51">
        <v>70</v>
      </c>
      <c r="U66" s="52">
        <v>8</v>
      </c>
      <c r="V66" s="51">
        <v>0</v>
      </c>
    </row>
    <row r="67" spans="1:22" s="53" customFormat="1" x14ac:dyDescent="0.35">
      <c r="A67" s="2">
        <v>42648</v>
      </c>
      <c r="B67" s="3">
        <f t="shared" si="3"/>
        <v>2016</v>
      </c>
      <c r="C67" s="3">
        <f t="shared" si="4"/>
        <v>10</v>
      </c>
      <c r="D67" s="3">
        <f t="shared" si="5"/>
        <v>5</v>
      </c>
      <c r="E67" s="44">
        <v>25.6</v>
      </c>
      <c r="F67" s="44">
        <v>31.5</v>
      </c>
      <c r="G67" s="44">
        <v>30</v>
      </c>
      <c r="H67" s="34">
        <v>28.175000000000001</v>
      </c>
      <c r="I67" s="44">
        <v>31.8</v>
      </c>
      <c r="J67" s="44">
        <v>25.6</v>
      </c>
      <c r="K67" s="52" t="s">
        <v>9</v>
      </c>
      <c r="L67" s="52">
        <v>92.5</v>
      </c>
      <c r="M67" s="51"/>
      <c r="N67" s="44">
        <v>1008.8875000000002</v>
      </c>
      <c r="O67" s="52">
        <v>92.588930960694285</v>
      </c>
      <c r="P67" s="52">
        <v>69.346423315434649</v>
      </c>
      <c r="Q67" s="52">
        <v>69.079568709148631</v>
      </c>
      <c r="R67" s="8">
        <v>80.900963486492969</v>
      </c>
      <c r="S67" s="52">
        <v>5.7058823529411766</v>
      </c>
      <c r="T67" s="51">
        <v>50</v>
      </c>
      <c r="U67" s="52">
        <v>10</v>
      </c>
      <c r="V67" s="51">
        <v>0</v>
      </c>
    </row>
    <row r="68" spans="1:22" s="53" customFormat="1" x14ac:dyDescent="0.35">
      <c r="A68" s="2">
        <v>42649</v>
      </c>
      <c r="B68" s="3">
        <f t="shared" si="3"/>
        <v>2016</v>
      </c>
      <c r="C68" s="3">
        <f t="shared" si="4"/>
        <v>10</v>
      </c>
      <c r="D68" s="3">
        <f t="shared" si="5"/>
        <v>6</v>
      </c>
      <c r="E68" s="44">
        <v>26</v>
      </c>
      <c r="F68" s="44">
        <v>32.1</v>
      </c>
      <c r="G68" s="44">
        <v>30.4</v>
      </c>
      <c r="H68" s="34">
        <v>28.625</v>
      </c>
      <c r="I68" s="44">
        <v>32.4</v>
      </c>
      <c r="J68" s="44">
        <v>25.5</v>
      </c>
      <c r="K68" s="52" t="s">
        <v>9</v>
      </c>
      <c r="L68" s="52">
        <v>100</v>
      </c>
      <c r="M68" s="51"/>
      <c r="N68" s="44">
        <v>1009.8125000000001</v>
      </c>
      <c r="O68" s="52">
        <v>90.2603255006929</v>
      </c>
      <c r="P68" s="52">
        <v>67.235483889360864</v>
      </c>
      <c r="Q68" s="52">
        <v>71.903804028047801</v>
      </c>
      <c r="R68" s="8">
        <v>79.914984729698617</v>
      </c>
      <c r="S68" s="52">
        <v>4.8421052631578947</v>
      </c>
      <c r="T68" s="51">
        <v>170</v>
      </c>
      <c r="U68" s="52">
        <v>9</v>
      </c>
      <c r="V68" s="51">
        <v>0</v>
      </c>
    </row>
    <row r="69" spans="1:22" s="53" customFormat="1" x14ac:dyDescent="0.35">
      <c r="A69" s="2">
        <v>42650</v>
      </c>
      <c r="B69" s="3">
        <f t="shared" si="3"/>
        <v>2016</v>
      </c>
      <c r="C69" s="3">
        <f t="shared" si="4"/>
        <v>10</v>
      </c>
      <c r="D69" s="3">
        <f t="shared" si="5"/>
        <v>7</v>
      </c>
      <c r="E69" s="44">
        <v>25.6</v>
      </c>
      <c r="F69" s="44">
        <v>31.2</v>
      </c>
      <c r="G69" s="44">
        <v>30</v>
      </c>
      <c r="H69" s="34">
        <v>28.1</v>
      </c>
      <c r="I69" s="44">
        <v>32</v>
      </c>
      <c r="J69" s="44">
        <v>25.6</v>
      </c>
      <c r="K69" s="52" t="s">
        <v>9</v>
      </c>
      <c r="L69" s="52">
        <v>45</v>
      </c>
      <c r="M69" s="51"/>
      <c r="N69" s="44">
        <v>1010.0541666666669</v>
      </c>
      <c r="O69" s="52">
        <v>82.302976559010204</v>
      </c>
      <c r="P69" s="52">
        <v>63.578509538661898</v>
      </c>
      <c r="Q69" s="52">
        <v>67.771971079510251</v>
      </c>
      <c r="R69" s="8">
        <v>73.989108434048148</v>
      </c>
      <c r="S69" s="52">
        <v>4.6842105263157894</v>
      </c>
      <c r="T69" s="51">
        <v>200</v>
      </c>
      <c r="U69" s="52">
        <v>9</v>
      </c>
      <c r="V69" s="51">
        <v>0</v>
      </c>
    </row>
    <row r="70" spans="1:22" s="53" customFormat="1" x14ac:dyDescent="0.35">
      <c r="A70" s="2">
        <v>42651</v>
      </c>
      <c r="B70" s="3">
        <f t="shared" si="3"/>
        <v>2016</v>
      </c>
      <c r="C70" s="3">
        <f t="shared" si="4"/>
        <v>10</v>
      </c>
      <c r="D70" s="3">
        <f t="shared" si="5"/>
        <v>8</v>
      </c>
      <c r="E70" s="44">
        <v>26.9</v>
      </c>
      <c r="F70" s="44">
        <v>24.1</v>
      </c>
      <c r="G70" s="44">
        <v>24.6</v>
      </c>
      <c r="H70" s="34">
        <v>25.625</v>
      </c>
      <c r="I70" s="44">
        <v>31.3</v>
      </c>
      <c r="J70" s="44">
        <v>24.1</v>
      </c>
      <c r="K70" s="40">
        <v>64.3</v>
      </c>
      <c r="L70" s="52">
        <v>100</v>
      </c>
      <c r="M70" s="51"/>
      <c r="N70" s="44">
        <v>1010.8333333333334</v>
      </c>
      <c r="O70" s="52">
        <v>84.314726407476925</v>
      </c>
      <c r="P70" s="52">
        <v>96.556438699092482</v>
      </c>
      <c r="Q70" s="52">
        <v>96.597958187340154</v>
      </c>
      <c r="R70" s="8">
        <v>90.445962425346622</v>
      </c>
      <c r="S70" s="52">
        <v>3</v>
      </c>
      <c r="T70" s="51">
        <v>200</v>
      </c>
      <c r="U70" s="52">
        <v>5</v>
      </c>
      <c r="V70" s="51">
        <v>0</v>
      </c>
    </row>
    <row r="71" spans="1:22" s="53" customFormat="1" x14ac:dyDescent="0.35">
      <c r="A71" s="2">
        <v>42652</v>
      </c>
      <c r="B71" s="3">
        <f t="shared" si="3"/>
        <v>2016</v>
      </c>
      <c r="C71" s="3">
        <f t="shared" si="4"/>
        <v>10</v>
      </c>
      <c r="D71" s="3">
        <f t="shared" si="5"/>
        <v>9</v>
      </c>
      <c r="E71" s="44">
        <v>25</v>
      </c>
      <c r="F71" s="44">
        <v>31.4</v>
      </c>
      <c r="G71" s="44">
        <v>27.4</v>
      </c>
      <c r="H71" s="34">
        <v>27.200000000000003</v>
      </c>
      <c r="I71" s="44">
        <v>31.7</v>
      </c>
      <c r="J71" s="44">
        <v>25</v>
      </c>
      <c r="K71" s="52">
        <v>42.8</v>
      </c>
      <c r="L71" s="52">
        <v>53.75</v>
      </c>
      <c r="M71" s="51"/>
      <c r="N71" s="44">
        <v>1010.1583333333333</v>
      </c>
      <c r="O71" s="52">
        <v>90.846373533346863</v>
      </c>
      <c r="P71" s="52">
        <v>66.171696842155797</v>
      </c>
      <c r="Q71" s="52">
        <v>84.492235640258414</v>
      </c>
      <c r="R71" s="8">
        <v>83.089169887276981</v>
      </c>
      <c r="S71" s="52">
        <v>5.333333333333333</v>
      </c>
      <c r="T71" s="51">
        <v>150</v>
      </c>
      <c r="U71" s="52">
        <v>8</v>
      </c>
      <c r="V71" s="51">
        <v>0</v>
      </c>
    </row>
    <row r="72" spans="1:22" s="53" customFormat="1" x14ac:dyDescent="0.35">
      <c r="A72" s="2">
        <v>42653</v>
      </c>
      <c r="B72" s="3">
        <f t="shared" si="3"/>
        <v>2016</v>
      </c>
      <c r="C72" s="3">
        <f t="shared" si="4"/>
        <v>10</v>
      </c>
      <c r="D72" s="3">
        <f t="shared" si="5"/>
        <v>10</v>
      </c>
      <c r="E72" s="44">
        <v>25.1</v>
      </c>
      <c r="F72" s="44">
        <v>26.9</v>
      </c>
      <c r="G72" s="44">
        <v>26.8</v>
      </c>
      <c r="H72" s="34">
        <v>25.974999999999998</v>
      </c>
      <c r="I72" s="44">
        <v>34.6</v>
      </c>
      <c r="J72" s="44">
        <v>25</v>
      </c>
      <c r="K72" s="52">
        <v>7.2</v>
      </c>
      <c r="L72" s="52">
        <v>23.75</v>
      </c>
      <c r="M72" s="51"/>
      <c r="N72" s="44">
        <v>1009.8500000000003</v>
      </c>
      <c r="O72" s="52">
        <v>94.14775768387851</v>
      </c>
      <c r="P72" s="52">
        <v>84.32100256728306</v>
      </c>
      <c r="Q72" s="52">
        <v>85.809743712338303</v>
      </c>
      <c r="R72" s="8">
        <v>89.606565411844599</v>
      </c>
      <c r="S72" s="52">
        <v>5.0476190476190474</v>
      </c>
      <c r="T72" s="51">
        <v>90</v>
      </c>
      <c r="U72" s="52">
        <v>9</v>
      </c>
      <c r="V72" s="51">
        <v>0</v>
      </c>
    </row>
    <row r="73" spans="1:22" s="53" customFormat="1" x14ac:dyDescent="0.35">
      <c r="A73" s="2">
        <v>42654</v>
      </c>
      <c r="B73" s="3">
        <f t="shared" si="3"/>
        <v>2016</v>
      </c>
      <c r="C73" s="3">
        <f t="shared" si="4"/>
        <v>10</v>
      </c>
      <c r="D73" s="3">
        <f t="shared" si="5"/>
        <v>11</v>
      </c>
      <c r="E73" s="44">
        <v>25.2</v>
      </c>
      <c r="F73" s="44">
        <v>31.2</v>
      </c>
      <c r="G73" s="44">
        <v>29</v>
      </c>
      <c r="H73" s="34">
        <v>27.65</v>
      </c>
      <c r="I73" s="44">
        <v>31.4</v>
      </c>
      <c r="J73" s="44">
        <v>23.8</v>
      </c>
      <c r="K73" s="52">
        <v>29.1</v>
      </c>
      <c r="L73" s="52">
        <v>100</v>
      </c>
      <c r="M73" s="51"/>
      <c r="N73" s="44">
        <v>1009.4</v>
      </c>
      <c r="O73" s="52">
        <v>90.081610878208778</v>
      </c>
      <c r="P73" s="52">
        <v>65.422551110528858</v>
      </c>
      <c r="Q73" s="52">
        <v>77.924908358467675</v>
      </c>
      <c r="R73" s="8">
        <v>80.877670306353522</v>
      </c>
      <c r="S73" s="52">
        <v>4.8695652173913047</v>
      </c>
      <c r="T73" s="51">
        <v>160</v>
      </c>
      <c r="U73" s="52">
        <v>15</v>
      </c>
      <c r="V73" s="51">
        <v>0</v>
      </c>
    </row>
    <row r="74" spans="1:22" s="53" customFormat="1" x14ac:dyDescent="0.35">
      <c r="A74" s="2">
        <v>42655</v>
      </c>
      <c r="B74" s="3">
        <f t="shared" si="3"/>
        <v>2016</v>
      </c>
      <c r="C74" s="3">
        <f t="shared" si="4"/>
        <v>10</v>
      </c>
      <c r="D74" s="3">
        <f t="shared" si="5"/>
        <v>12</v>
      </c>
      <c r="E74" s="44">
        <v>25.6</v>
      </c>
      <c r="F74" s="44">
        <v>31</v>
      </c>
      <c r="G74" s="44">
        <v>29.6</v>
      </c>
      <c r="H74" s="34">
        <v>27.950000000000003</v>
      </c>
      <c r="I74" s="44">
        <v>31.2</v>
      </c>
      <c r="J74" s="44">
        <v>25.2</v>
      </c>
      <c r="K74" s="52" t="s">
        <v>9</v>
      </c>
      <c r="L74" s="52">
        <v>100</v>
      </c>
      <c r="M74" s="51"/>
      <c r="N74" s="44">
        <v>1008.8541666666666</v>
      </c>
      <c r="O74" s="52">
        <v>95.032737199538829</v>
      </c>
      <c r="P74" s="52">
        <v>72.239138376059117</v>
      </c>
      <c r="Q74" s="52">
        <v>75.471281507026376</v>
      </c>
      <c r="R74" s="8">
        <v>84.443973570540791</v>
      </c>
      <c r="S74" s="52">
        <v>4.4782608695652177</v>
      </c>
      <c r="T74" s="51">
        <v>40</v>
      </c>
      <c r="U74" s="52">
        <v>19</v>
      </c>
      <c r="V74" s="51">
        <v>0</v>
      </c>
    </row>
    <row r="75" spans="1:22" s="53" customFormat="1" x14ac:dyDescent="0.35">
      <c r="A75" s="2">
        <v>42656</v>
      </c>
      <c r="B75" s="3">
        <f t="shared" si="3"/>
        <v>2016</v>
      </c>
      <c r="C75" s="3">
        <f t="shared" si="4"/>
        <v>10</v>
      </c>
      <c r="D75" s="3">
        <f t="shared" si="5"/>
        <v>13</v>
      </c>
      <c r="E75" s="44">
        <v>26.5</v>
      </c>
      <c r="F75" s="44">
        <v>28.9</v>
      </c>
      <c r="G75" s="44">
        <v>28.4</v>
      </c>
      <c r="H75" s="34">
        <v>27.575000000000003</v>
      </c>
      <c r="I75" s="44">
        <v>29.8</v>
      </c>
      <c r="J75" s="44">
        <v>25.6</v>
      </c>
      <c r="K75" s="52" t="s">
        <v>9</v>
      </c>
      <c r="L75" s="52">
        <v>15</v>
      </c>
      <c r="M75" s="51"/>
      <c r="N75" s="44">
        <v>1008.8416666666666</v>
      </c>
      <c r="O75" s="52">
        <v>89.586532562039849</v>
      </c>
      <c r="P75" s="52">
        <v>82.108167799906454</v>
      </c>
      <c r="Q75" s="52">
        <v>80.487936905322201</v>
      </c>
      <c r="R75" s="8">
        <v>85.442292457327099</v>
      </c>
      <c r="S75" s="52">
        <v>4.1363636363636367</v>
      </c>
      <c r="T75" s="51">
        <v>160</v>
      </c>
      <c r="U75" s="52">
        <v>8</v>
      </c>
      <c r="V75" s="51">
        <v>0</v>
      </c>
    </row>
    <row r="76" spans="1:22" s="53" customFormat="1" x14ac:dyDescent="0.35">
      <c r="A76" s="2">
        <v>42657</v>
      </c>
      <c r="B76" s="3">
        <f t="shared" si="3"/>
        <v>2016</v>
      </c>
      <c r="C76" s="3">
        <f t="shared" si="4"/>
        <v>10</v>
      </c>
      <c r="D76" s="3">
        <f t="shared" si="5"/>
        <v>14</v>
      </c>
      <c r="E76" s="44">
        <v>26.4</v>
      </c>
      <c r="F76" s="44">
        <v>29.2</v>
      </c>
      <c r="G76" s="44">
        <v>29</v>
      </c>
      <c r="H76" s="34">
        <v>27.75</v>
      </c>
      <c r="I76" s="44">
        <v>30.6</v>
      </c>
      <c r="J76" s="44">
        <v>24.8</v>
      </c>
      <c r="K76" s="52" t="s">
        <v>9</v>
      </c>
      <c r="L76" s="52">
        <v>31.25</v>
      </c>
      <c r="M76" s="51"/>
      <c r="N76" s="44">
        <v>1008.9875000000001</v>
      </c>
      <c r="O76" s="52">
        <v>88.78089216303637</v>
      </c>
      <c r="P76" s="52">
        <v>78.011803815522313</v>
      </c>
      <c r="Q76" s="52">
        <v>79.324964976080508</v>
      </c>
      <c r="R76" s="8">
        <v>83.724638279418883</v>
      </c>
      <c r="S76" s="52">
        <v>3.9166666666666665</v>
      </c>
      <c r="T76" s="51">
        <v>140</v>
      </c>
      <c r="U76" s="52">
        <v>9</v>
      </c>
      <c r="V76" s="51">
        <v>0</v>
      </c>
    </row>
    <row r="77" spans="1:22" s="53" customFormat="1" x14ac:dyDescent="0.35">
      <c r="A77" s="2">
        <v>42658</v>
      </c>
      <c r="B77" s="3">
        <f t="shared" si="3"/>
        <v>2016</v>
      </c>
      <c r="C77" s="3">
        <f t="shared" si="4"/>
        <v>10</v>
      </c>
      <c r="D77" s="3">
        <f t="shared" si="5"/>
        <v>15</v>
      </c>
      <c r="E77" s="44">
        <v>25.1</v>
      </c>
      <c r="F77" s="44">
        <v>31</v>
      </c>
      <c r="G77" s="44">
        <v>29.8</v>
      </c>
      <c r="H77" s="34">
        <v>27.75</v>
      </c>
      <c r="I77" s="44">
        <v>31.6</v>
      </c>
      <c r="J77" s="44">
        <v>25.1</v>
      </c>
      <c r="K77" s="40" t="s">
        <v>9</v>
      </c>
      <c r="L77" s="52">
        <v>92.5</v>
      </c>
      <c r="M77" s="51"/>
      <c r="N77" s="44">
        <v>1009.1583333333332</v>
      </c>
      <c r="O77" s="52">
        <v>92.503294414084351</v>
      </c>
      <c r="P77" s="52">
        <v>63.448364036756857</v>
      </c>
      <c r="Q77" s="52">
        <v>65.731525979404154</v>
      </c>
      <c r="R77" s="8">
        <v>78.546619711082428</v>
      </c>
      <c r="S77" s="52">
        <v>9.0869565217391308</v>
      </c>
      <c r="T77" s="51">
        <v>30</v>
      </c>
      <c r="U77" s="52">
        <v>99</v>
      </c>
      <c r="V77" s="51">
        <v>0</v>
      </c>
    </row>
    <row r="78" spans="1:22" s="53" customFormat="1" x14ac:dyDescent="0.35">
      <c r="A78" s="2">
        <v>42659</v>
      </c>
      <c r="B78" s="3">
        <f t="shared" si="3"/>
        <v>2016</v>
      </c>
      <c r="C78" s="3">
        <f t="shared" si="4"/>
        <v>10</v>
      </c>
      <c r="D78" s="3">
        <f t="shared" si="5"/>
        <v>16</v>
      </c>
      <c r="E78" s="44">
        <v>25.8</v>
      </c>
      <c r="F78" s="44">
        <v>31.2</v>
      </c>
      <c r="G78" s="44">
        <v>29.8</v>
      </c>
      <c r="H78" s="34">
        <v>28.15</v>
      </c>
      <c r="I78" s="44">
        <v>31.6</v>
      </c>
      <c r="J78" s="44">
        <v>25.6</v>
      </c>
      <c r="K78" s="52" t="s">
        <v>9</v>
      </c>
      <c r="L78" s="52">
        <v>87.5</v>
      </c>
      <c r="M78" s="51"/>
      <c r="N78" s="44">
        <v>1009.0333333333332</v>
      </c>
      <c r="O78" s="52">
        <v>90.217585950285653</v>
      </c>
      <c r="P78" s="52">
        <v>71.062497091673322</v>
      </c>
      <c r="Q78" s="52">
        <v>75.573932225969955</v>
      </c>
      <c r="R78" s="8">
        <v>81.767900304553649</v>
      </c>
      <c r="S78" s="52">
        <v>4</v>
      </c>
      <c r="T78" s="51">
        <v>190</v>
      </c>
      <c r="U78" s="52">
        <v>10</v>
      </c>
      <c r="V78" s="51">
        <v>0</v>
      </c>
    </row>
    <row r="79" spans="1:22" s="53" customFormat="1" x14ac:dyDescent="0.35">
      <c r="A79" s="2">
        <v>42660</v>
      </c>
      <c r="B79" s="3">
        <f t="shared" si="3"/>
        <v>2016</v>
      </c>
      <c r="C79" s="3">
        <f t="shared" si="4"/>
        <v>10</v>
      </c>
      <c r="D79" s="3">
        <f t="shared" si="5"/>
        <v>17</v>
      </c>
      <c r="E79" s="44">
        <v>26.2</v>
      </c>
      <c r="F79" s="44">
        <v>31.6</v>
      </c>
      <c r="G79" s="44">
        <v>30</v>
      </c>
      <c r="H79" s="34">
        <v>28.5</v>
      </c>
      <c r="I79" s="44">
        <v>32.200000000000003</v>
      </c>
      <c r="J79" s="44">
        <v>25.4</v>
      </c>
      <c r="K79" s="52" t="s">
        <v>9</v>
      </c>
      <c r="L79" s="52">
        <v>100</v>
      </c>
      <c r="M79" s="51"/>
      <c r="N79" s="44">
        <v>1008.4999999999997</v>
      </c>
      <c r="O79" s="52">
        <v>85.61510722173702</v>
      </c>
      <c r="P79" s="52">
        <v>68.784558047988497</v>
      </c>
      <c r="Q79" s="52">
        <v>71.696109892270869</v>
      </c>
      <c r="R79" s="8">
        <v>77.927720595933351</v>
      </c>
      <c r="S79" s="52">
        <v>4.125</v>
      </c>
      <c r="T79" s="51">
        <v>180</v>
      </c>
      <c r="U79" s="52">
        <v>9</v>
      </c>
      <c r="V79" s="51">
        <v>0</v>
      </c>
    </row>
    <row r="80" spans="1:22" s="53" customFormat="1" x14ac:dyDescent="0.35">
      <c r="A80" s="2">
        <v>42661</v>
      </c>
      <c r="B80" s="3">
        <f t="shared" si="3"/>
        <v>2016</v>
      </c>
      <c r="C80" s="3">
        <f t="shared" si="4"/>
        <v>10</v>
      </c>
      <c r="D80" s="3">
        <f t="shared" si="5"/>
        <v>18</v>
      </c>
      <c r="E80" s="44">
        <v>25.8</v>
      </c>
      <c r="F80" s="44">
        <v>32</v>
      </c>
      <c r="G80" s="44">
        <v>30.2</v>
      </c>
      <c r="H80" s="34">
        <v>28.45</v>
      </c>
      <c r="I80" s="44">
        <v>32.200000000000003</v>
      </c>
      <c r="J80" s="44">
        <v>25.4</v>
      </c>
      <c r="K80" s="52" t="s">
        <v>9</v>
      </c>
      <c r="L80" s="52">
        <v>100</v>
      </c>
      <c r="M80" s="51"/>
      <c r="N80" s="44">
        <v>1008.5749999999998</v>
      </c>
      <c r="O80" s="52">
        <v>82.385427706571477</v>
      </c>
      <c r="P80" s="52">
        <v>60.604096469964539</v>
      </c>
      <c r="Q80" s="52">
        <v>71.808204641822286</v>
      </c>
      <c r="R80" s="8">
        <v>74.295789131232439</v>
      </c>
      <c r="S80" s="52">
        <v>3.8695652173913042</v>
      </c>
      <c r="T80" s="51">
        <v>200</v>
      </c>
      <c r="U80" s="52">
        <v>7</v>
      </c>
      <c r="V80" s="51">
        <v>0</v>
      </c>
    </row>
    <row r="81" spans="1:22" s="53" customFormat="1" x14ac:dyDescent="0.35">
      <c r="A81" s="2">
        <v>42662</v>
      </c>
      <c r="B81" s="3">
        <f t="shared" si="3"/>
        <v>2016</v>
      </c>
      <c r="C81" s="3">
        <f t="shared" si="4"/>
        <v>10</v>
      </c>
      <c r="D81" s="3">
        <f t="shared" si="5"/>
        <v>19</v>
      </c>
      <c r="E81" s="44">
        <v>25.6</v>
      </c>
      <c r="F81" s="44">
        <v>31.6</v>
      </c>
      <c r="G81" s="44">
        <v>30.4</v>
      </c>
      <c r="H81" s="34">
        <v>28.300000000000004</v>
      </c>
      <c r="I81" s="44">
        <v>32</v>
      </c>
      <c r="J81" s="44">
        <v>24.6</v>
      </c>
      <c r="K81" s="52" t="s">
        <v>9</v>
      </c>
      <c r="L81" s="52">
        <v>100</v>
      </c>
      <c r="M81" s="51"/>
      <c r="N81" s="44">
        <v>1008.125</v>
      </c>
      <c r="O81" s="52">
        <v>88.576756388016449</v>
      </c>
      <c r="P81" s="52">
        <v>63.88057862663581</v>
      </c>
      <c r="Q81" s="52">
        <v>69.342394828412353</v>
      </c>
      <c r="R81" s="8">
        <v>77.594121557770265</v>
      </c>
      <c r="S81" s="52">
        <v>5</v>
      </c>
      <c r="T81" s="51">
        <v>170</v>
      </c>
      <c r="U81" s="52">
        <v>11</v>
      </c>
      <c r="V81" s="51">
        <v>0</v>
      </c>
    </row>
    <row r="82" spans="1:22" s="53" customFormat="1" x14ac:dyDescent="0.35">
      <c r="A82" s="2">
        <v>42663</v>
      </c>
      <c r="B82" s="3">
        <f t="shared" si="3"/>
        <v>2016</v>
      </c>
      <c r="C82" s="3">
        <f t="shared" si="4"/>
        <v>10</v>
      </c>
      <c r="D82" s="3">
        <f t="shared" si="5"/>
        <v>20</v>
      </c>
      <c r="E82" s="44">
        <v>26</v>
      </c>
      <c r="F82" s="44">
        <v>31.8</v>
      </c>
      <c r="G82" s="44">
        <v>30</v>
      </c>
      <c r="H82" s="34">
        <v>28.45</v>
      </c>
      <c r="I82" s="44">
        <v>32.200000000000003</v>
      </c>
      <c r="J82" s="44">
        <v>25.4</v>
      </c>
      <c r="K82" s="52">
        <v>0</v>
      </c>
      <c r="L82" s="52">
        <v>100</v>
      </c>
      <c r="M82" s="51"/>
      <c r="N82" s="44">
        <v>1007.7458333333334</v>
      </c>
      <c r="O82" s="52">
        <v>90.263728990222631</v>
      </c>
      <c r="P82" s="52">
        <v>67.67599048388405</v>
      </c>
      <c r="Q82" s="52">
        <v>78.381414676082613</v>
      </c>
      <c r="R82" s="8">
        <v>81.646215785102981</v>
      </c>
      <c r="S82" s="52">
        <v>4.7727272727272725</v>
      </c>
      <c r="T82" s="51">
        <v>60</v>
      </c>
      <c r="U82" s="52">
        <v>10</v>
      </c>
      <c r="V82" s="51">
        <v>0</v>
      </c>
    </row>
    <row r="83" spans="1:22" s="53" customFormat="1" x14ac:dyDescent="0.35">
      <c r="A83" s="2">
        <v>42664</v>
      </c>
      <c r="B83" s="3">
        <f t="shared" si="3"/>
        <v>2016</v>
      </c>
      <c r="C83" s="3">
        <f t="shared" si="4"/>
        <v>10</v>
      </c>
      <c r="D83" s="3">
        <f t="shared" si="5"/>
        <v>21</v>
      </c>
      <c r="E83" s="44">
        <v>26.4</v>
      </c>
      <c r="F83" s="44">
        <v>26.8</v>
      </c>
      <c r="G83" s="44">
        <v>28.2</v>
      </c>
      <c r="H83" s="34">
        <v>26.95</v>
      </c>
      <c r="I83" s="44">
        <v>29.4</v>
      </c>
      <c r="J83" s="44">
        <v>25.2</v>
      </c>
      <c r="K83" s="52">
        <v>0.4</v>
      </c>
      <c r="L83" s="52">
        <v>2.5</v>
      </c>
      <c r="M83" s="51"/>
      <c r="N83" s="44">
        <v>1009.0833333333335</v>
      </c>
      <c r="O83" s="52">
        <v>84.150187378197657</v>
      </c>
      <c r="P83" s="52">
        <v>84.283676739160569</v>
      </c>
      <c r="Q83" s="52">
        <v>81.84683069621606</v>
      </c>
      <c r="R83" s="8">
        <v>83.607720547942989</v>
      </c>
      <c r="S83" s="52">
        <v>5.6363636363636367</v>
      </c>
      <c r="T83" s="51">
        <v>200</v>
      </c>
      <c r="U83" s="52">
        <v>25</v>
      </c>
      <c r="V83" s="51">
        <v>0</v>
      </c>
    </row>
    <row r="84" spans="1:22" s="53" customFormat="1" x14ac:dyDescent="0.35">
      <c r="A84" s="2">
        <v>42665</v>
      </c>
      <c r="B84" s="3">
        <f t="shared" si="3"/>
        <v>2016</v>
      </c>
      <c r="C84" s="3">
        <f t="shared" si="4"/>
        <v>10</v>
      </c>
      <c r="D84" s="3">
        <f t="shared" si="5"/>
        <v>22</v>
      </c>
      <c r="E84" s="44">
        <v>26.6</v>
      </c>
      <c r="F84" s="44">
        <v>29.2</v>
      </c>
      <c r="G84" s="44">
        <v>28</v>
      </c>
      <c r="H84" s="34">
        <v>27.6</v>
      </c>
      <c r="I84" s="44">
        <v>30.6</v>
      </c>
      <c r="J84" s="44">
        <v>24.2</v>
      </c>
      <c r="K84" s="52">
        <v>30.2</v>
      </c>
      <c r="L84" s="52">
        <v>65</v>
      </c>
      <c r="M84" s="51"/>
      <c r="N84" s="44">
        <v>1009.8999999999997</v>
      </c>
      <c r="O84" s="52">
        <v>84.2092834801702</v>
      </c>
      <c r="P84" s="52">
        <v>78.008274659118968</v>
      </c>
      <c r="Q84" s="52">
        <v>81.767030361881822</v>
      </c>
      <c r="R84" s="8">
        <v>82.048467995335301</v>
      </c>
      <c r="S84" s="52">
        <v>4.9545454545454541</v>
      </c>
      <c r="T84" s="51">
        <v>90</v>
      </c>
      <c r="U84" s="52">
        <v>13</v>
      </c>
      <c r="V84" s="51">
        <v>0</v>
      </c>
    </row>
    <row r="85" spans="1:22" s="53" customFormat="1" x14ac:dyDescent="0.35">
      <c r="A85" s="2">
        <v>42666</v>
      </c>
      <c r="B85" s="3">
        <f t="shared" ref="B85:B93" si="6">YEAR(A85)</f>
        <v>2016</v>
      </c>
      <c r="C85" s="3">
        <f t="shared" ref="C85:C93" si="7">MONTH(A85)</f>
        <v>10</v>
      </c>
      <c r="D85" s="3">
        <f t="shared" ref="D85:D93" si="8">DAY(A85)</f>
        <v>23</v>
      </c>
      <c r="E85" s="44">
        <v>24.2</v>
      </c>
      <c r="F85" s="44">
        <v>28.2</v>
      </c>
      <c r="G85" s="44">
        <v>23.8</v>
      </c>
      <c r="H85" s="34">
        <v>25.099999999999998</v>
      </c>
      <c r="I85" s="44">
        <v>28.2</v>
      </c>
      <c r="J85" s="44">
        <v>23.4</v>
      </c>
      <c r="K85" s="52">
        <v>38.200000000000003</v>
      </c>
      <c r="L85" s="52">
        <v>0</v>
      </c>
      <c r="M85" s="51"/>
      <c r="N85" s="44">
        <v>1010.4291666666669</v>
      </c>
      <c r="O85" s="52">
        <v>98.276628387011698</v>
      </c>
      <c r="P85" s="52">
        <v>81.833368161409368</v>
      </c>
      <c r="Q85" s="52">
        <v>96.532679032390192</v>
      </c>
      <c r="R85" s="8">
        <v>93.729825991955749</v>
      </c>
      <c r="S85" s="52">
        <v>3.3913043478260869</v>
      </c>
      <c r="T85" s="51">
        <v>170</v>
      </c>
      <c r="U85" s="52">
        <v>11</v>
      </c>
      <c r="V85" s="51">
        <v>0</v>
      </c>
    </row>
    <row r="86" spans="1:22" s="53" customFormat="1" x14ac:dyDescent="0.35">
      <c r="A86" s="2">
        <v>42667</v>
      </c>
      <c r="B86" s="3">
        <f t="shared" si="6"/>
        <v>2016</v>
      </c>
      <c r="C86" s="3">
        <f t="shared" si="7"/>
        <v>10</v>
      </c>
      <c r="D86" s="3">
        <f t="shared" si="8"/>
        <v>24</v>
      </c>
      <c r="E86" s="44">
        <v>24</v>
      </c>
      <c r="F86" s="44">
        <v>24.6</v>
      </c>
      <c r="G86" s="44">
        <v>26.6</v>
      </c>
      <c r="H86" s="34">
        <v>24.799999999999997</v>
      </c>
      <c r="I86" s="44">
        <v>27.7</v>
      </c>
      <c r="J86" s="44">
        <v>24</v>
      </c>
      <c r="K86" s="52">
        <v>11</v>
      </c>
      <c r="L86" s="52">
        <v>8.75</v>
      </c>
      <c r="M86" s="51"/>
      <c r="N86" s="44">
        <v>1009.9333333333334</v>
      </c>
      <c r="O86" s="52">
        <v>94.842328139764902</v>
      </c>
      <c r="P86" s="52">
        <v>94.914266384270292</v>
      </c>
      <c r="Q86" s="52">
        <v>84.2202340084323</v>
      </c>
      <c r="R86" s="8">
        <v>92.204789168058085</v>
      </c>
      <c r="S86" s="52">
        <v>5.333333333333333</v>
      </c>
      <c r="T86" s="51">
        <v>270</v>
      </c>
      <c r="U86" s="52">
        <v>10</v>
      </c>
      <c r="V86" s="51">
        <v>0</v>
      </c>
    </row>
    <row r="87" spans="1:22" s="53" customFormat="1" x14ac:dyDescent="0.35">
      <c r="A87" s="2">
        <v>42668</v>
      </c>
      <c r="B87" s="3">
        <f t="shared" si="6"/>
        <v>2016</v>
      </c>
      <c r="C87" s="3">
        <f t="shared" si="7"/>
        <v>10</v>
      </c>
      <c r="D87" s="3">
        <f t="shared" si="8"/>
        <v>25</v>
      </c>
      <c r="E87" s="44">
        <v>25.2</v>
      </c>
      <c r="F87" s="44">
        <v>30.2</v>
      </c>
      <c r="G87" s="44">
        <v>29</v>
      </c>
      <c r="H87" s="34">
        <v>27.4</v>
      </c>
      <c r="I87" s="44">
        <v>30.8</v>
      </c>
      <c r="J87" s="44">
        <v>23.8</v>
      </c>
      <c r="K87" s="52" t="s">
        <v>9</v>
      </c>
      <c r="L87" s="52">
        <v>31.25</v>
      </c>
      <c r="M87" s="51"/>
      <c r="N87" s="44">
        <v>1009.5916666666667</v>
      </c>
      <c r="O87" s="52">
        <v>91.705306528563213</v>
      </c>
      <c r="P87" s="52">
        <v>71.783769944594695</v>
      </c>
      <c r="Q87" s="52">
        <v>75.160687720021528</v>
      </c>
      <c r="R87" s="8">
        <v>82.588767680435666</v>
      </c>
      <c r="S87" s="52">
        <v>5.375</v>
      </c>
      <c r="T87" s="51">
        <v>50</v>
      </c>
      <c r="U87" s="52">
        <v>8</v>
      </c>
      <c r="V87" s="51">
        <v>0</v>
      </c>
    </row>
    <row r="88" spans="1:22" s="53" customFormat="1" x14ac:dyDescent="0.35">
      <c r="A88" s="2">
        <v>42669</v>
      </c>
      <c r="B88" s="3">
        <f t="shared" si="6"/>
        <v>2016</v>
      </c>
      <c r="C88" s="3">
        <f t="shared" si="7"/>
        <v>10</v>
      </c>
      <c r="D88" s="3">
        <f t="shared" si="8"/>
        <v>26</v>
      </c>
      <c r="E88" s="44">
        <v>26.5</v>
      </c>
      <c r="F88" s="44">
        <v>28.6</v>
      </c>
      <c r="G88" s="44">
        <v>29.8</v>
      </c>
      <c r="H88" s="34">
        <v>27.849999999999998</v>
      </c>
      <c r="I88" s="44">
        <v>31.2</v>
      </c>
      <c r="J88" s="44">
        <v>24.6</v>
      </c>
      <c r="K88" s="52">
        <v>18.7</v>
      </c>
      <c r="L88" s="52">
        <v>75</v>
      </c>
      <c r="M88" s="51"/>
      <c r="N88" s="44">
        <v>1010.3999999999997</v>
      </c>
      <c r="O88" s="52">
        <v>91.154480696012826</v>
      </c>
      <c r="P88" s="52">
        <v>74.940456530692117</v>
      </c>
      <c r="Q88" s="52">
        <v>72.218854189742913</v>
      </c>
      <c r="R88" s="8">
        <v>82.36706802811517</v>
      </c>
      <c r="S88" s="52">
        <v>4</v>
      </c>
      <c r="T88" s="51">
        <v>60</v>
      </c>
      <c r="U88" s="52">
        <v>9</v>
      </c>
      <c r="V88" s="51">
        <v>0</v>
      </c>
    </row>
    <row r="89" spans="1:22" s="53" customFormat="1" x14ac:dyDescent="0.35">
      <c r="A89" s="2">
        <v>42670</v>
      </c>
      <c r="B89" s="3">
        <f t="shared" si="6"/>
        <v>2016</v>
      </c>
      <c r="C89" s="3">
        <f t="shared" si="7"/>
        <v>10</v>
      </c>
      <c r="D89" s="3">
        <f t="shared" si="8"/>
        <v>27</v>
      </c>
      <c r="E89" s="44">
        <v>25.4</v>
      </c>
      <c r="F89" s="44">
        <v>30.5</v>
      </c>
      <c r="G89" s="44">
        <v>27.9</v>
      </c>
      <c r="H89" s="34">
        <v>27.299999999999997</v>
      </c>
      <c r="I89" s="44">
        <v>31</v>
      </c>
      <c r="J89" s="44">
        <v>25.3</v>
      </c>
      <c r="K89" s="40">
        <v>0.3</v>
      </c>
      <c r="L89" s="52">
        <v>70</v>
      </c>
      <c r="M89" s="51"/>
      <c r="N89" s="44">
        <v>1010.6750000000001</v>
      </c>
      <c r="O89" s="52">
        <v>93.367639324141635</v>
      </c>
      <c r="P89" s="52">
        <v>68.721019298693633</v>
      </c>
      <c r="Q89" s="52">
        <v>78.112746105944126</v>
      </c>
      <c r="R89" s="8">
        <v>83.392261013230268</v>
      </c>
      <c r="S89" s="52">
        <v>4.8</v>
      </c>
      <c r="T89" s="51">
        <v>20</v>
      </c>
      <c r="U89" s="52">
        <v>8</v>
      </c>
      <c r="V89" s="51">
        <v>0</v>
      </c>
    </row>
    <row r="90" spans="1:22" s="53" customFormat="1" x14ac:dyDescent="0.35">
      <c r="A90" s="2">
        <v>42671</v>
      </c>
      <c r="B90" s="3">
        <f t="shared" si="6"/>
        <v>2016</v>
      </c>
      <c r="C90" s="3">
        <f t="shared" si="7"/>
        <v>10</v>
      </c>
      <c r="D90" s="3">
        <f t="shared" si="8"/>
        <v>28</v>
      </c>
      <c r="E90" s="44">
        <v>25.6</v>
      </c>
      <c r="F90" s="44">
        <v>30</v>
      </c>
      <c r="G90" s="44">
        <v>28.8</v>
      </c>
      <c r="H90" s="34">
        <v>27.5</v>
      </c>
      <c r="I90" s="44">
        <v>30.4</v>
      </c>
      <c r="J90" s="44">
        <v>25.6</v>
      </c>
      <c r="K90" s="52" t="s">
        <v>9</v>
      </c>
      <c r="L90" s="52">
        <v>0</v>
      </c>
      <c r="M90" s="51"/>
      <c r="N90" s="44">
        <v>1010.0083333333333</v>
      </c>
      <c r="O90" s="52">
        <v>93.399262593387363</v>
      </c>
      <c r="P90" s="52">
        <v>73.65145451748279</v>
      </c>
      <c r="Q90" s="52">
        <v>77.132992207835059</v>
      </c>
      <c r="R90" s="8">
        <v>84.395742978023151</v>
      </c>
      <c r="S90" s="52">
        <v>4.2307692307692308</v>
      </c>
      <c r="T90" s="51">
        <v>340</v>
      </c>
      <c r="U90" s="52">
        <v>6</v>
      </c>
      <c r="V90" s="51">
        <v>0</v>
      </c>
    </row>
    <row r="91" spans="1:22" s="53" customFormat="1" x14ac:dyDescent="0.35">
      <c r="A91" s="2">
        <v>42672</v>
      </c>
      <c r="B91" s="3">
        <f t="shared" si="6"/>
        <v>2016</v>
      </c>
      <c r="C91" s="3">
        <f t="shared" si="7"/>
        <v>10</v>
      </c>
      <c r="D91" s="3">
        <f t="shared" si="8"/>
        <v>29</v>
      </c>
      <c r="E91" s="44">
        <v>26.1</v>
      </c>
      <c r="F91" s="44">
        <v>31.6</v>
      </c>
      <c r="G91" s="44">
        <v>27.2</v>
      </c>
      <c r="H91" s="34">
        <v>27.750000000000004</v>
      </c>
      <c r="I91" s="44">
        <v>32.1</v>
      </c>
      <c r="J91" s="44">
        <v>25.4</v>
      </c>
      <c r="K91" s="52">
        <v>0</v>
      </c>
      <c r="L91" s="52">
        <v>100</v>
      </c>
      <c r="M91" s="51"/>
      <c r="N91" s="44">
        <v>1009.3416666666667</v>
      </c>
      <c r="O91" s="52">
        <v>85.581404282397827</v>
      </c>
      <c r="P91" s="52">
        <v>66.306796405570537</v>
      </c>
      <c r="Q91" s="52">
        <v>85.181169899820148</v>
      </c>
      <c r="R91" s="8">
        <v>80.662693717546588</v>
      </c>
      <c r="S91" s="52">
        <v>5.0666666666666664</v>
      </c>
      <c r="T91" s="51">
        <v>40</v>
      </c>
      <c r="U91" s="52">
        <v>9</v>
      </c>
      <c r="V91" s="51">
        <v>0</v>
      </c>
    </row>
    <row r="92" spans="1:22" s="53" customFormat="1" x14ac:dyDescent="0.35">
      <c r="A92" s="2">
        <v>42673</v>
      </c>
      <c r="B92" s="3">
        <f t="shared" si="6"/>
        <v>2016</v>
      </c>
      <c r="C92" s="3">
        <f t="shared" si="7"/>
        <v>10</v>
      </c>
      <c r="D92" s="3">
        <f t="shared" si="8"/>
        <v>30</v>
      </c>
      <c r="E92" s="44">
        <v>26.7</v>
      </c>
      <c r="F92" s="44">
        <v>31.8</v>
      </c>
      <c r="G92" s="44">
        <v>30.3</v>
      </c>
      <c r="H92" s="34">
        <v>28.875</v>
      </c>
      <c r="I92" s="44">
        <v>32</v>
      </c>
      <c r="J92" s="44">
        <v>25.6</v>
      </c>
      <c r="K92" s="52" t="s">
        <v>9</v>
      </c>
      <c r="L92" s="52">
        <v>100</v>
      </c>
      <c r="M92" s="51"/>
      <c r="N92" s="44">
        <v>1009.5374999999999</v>
      </c>
      <c r="O92" s="52">
        <v>83.48825024706602</v>
      </c>
      <c r="P92" s="52">
        <v>66.437108153838324</v>
      </c>
      <c r="Q92" s="52">
        <v>70.551272253924807</v>
      </c>
      <c r="R92" s="8">
        <v>75.991220225473796</v>
      </c>
      <c r="S92" s="52">
        <v>4.875</v>
      </c>
      <c r="T92" s="51">
        <v>20</v>
      </c>
      <c r="U92" s="52">
        <v>9</v>
      </c>
      <c r="V92" s="51">
        <v>0</v>
      </c>
    </row>
    <row r="93" spans="1:22" s="53" customFormat="1" x14ac:dyDescent="0.35">
      <c r="A93" s="2">
        <v>42674</v>
      </c>
      <c r="B93" s="3">
        <f t="shared" si="6"/>
        <v>2016</v>
      </c>
      <c r="C93" s="3">
        <f t="shared" si="7"/>
        <v>10</v>
      </c>
      <c r="D93" s="3">
        <f t="shared" si="8"/>
        <v>31</v>
      </c>
      <c r="E93" s="44">
        <v>25.9</v>
      </c>
      <c r="F93" s="44">
        <v>31.8</v>
      </c>
      <c r="G93" s="44">
        <v>30</v>
      </c>
      <c r="H93" s="34">
        <v>28.4</v>
      </c>
      <c r="I93" s="44">
        <v>32</v>
      </c>
      <c r="J93" s="44" t="e">
        <v>#REF!</v>
      </c>
      <c r="K93" s="52" t="s">
        <v>9</v>
      </c>
      <c r="L93" s="52">
        <v>0</v>
      </c>
      <c r="M93" s="51"/>
      <c r="N93" s="44">
        <v>1009.7458333333335</v>
      </c>
      <c r="O93" s="52">
        <v>91.035024972442599</v>
      </c>
      <c r="P93" s="52">
        <v>61.617979040344096</v>
      </c>
      <c r="Q93" s="52">
        <v>71.679632296930507</v>
      </c>
      <c r="R93" s="8">
        <v>78.841915320539954</v>
      </c>
      <c r="S93" s="52" t="e">
        <v>#N/A</v>
      </c>
      <c r="T93" s="51">
        <v>90</v>
      </c>
      <c r="U93" s="52" t="e">
        <v>#N/A</v>
      </c>
      <c r="V93" s="51">
        <v>0</v>
      </c>
    </row>
    <row r="94" spans="1:22" s="53" customFormat="1" x14ac:dyDescent="0.35">
      <c r="A94" s="2">
        <v>42736</v>
      </c>
      <c r="B94" s="3">
        <f t="shared" ref="B94:B151" si="9">YEAR(A94)</f>
        <v>2017</v>
      </c>
      <c r="C94" s="3">
        <f t="shared" ref="C94:C151" si="10">MONTH(A94)</f>
        <v>1</v>
      </c>
      <c r="D94" s="55">
        <f t="shared" ref="D94:D151" si="11">DAY(A94)</f>
        <v>1</v>
      </c>
      <c r="E94" s="23">
        <v>26.2</v>
      </c>
      <c r="F94" s="23">
        <v>32.200000000000003</v>
      </c>
      <c r="G94" s="23">
        <v>29.6</v>
      </c>
      <c r="H94" s="13">
        <v>28.549999999999997</v>
      </c>
      <c r="I94" s="23">
        <v>31.6</v>
      </c>
      <c r="J94" s="23">
        <v>24</v>
      </c>
      <c r="K94" s="8">
        <v>81.5</v>
      </c>
      <c r="L94" s="8">
        <v>100</v>
      </c>
      <c r="M94" s="5"/>
      <c r="N94" s="13">
        <v>1007.6458333333335</v>
      </c>
      <c r="O94" s="8">
        <v>100</v>
      </c>
      <c r="P94" s="8">
        <v>65.50366582608271</v>
      </c>
      <c r="Q94" s="8">
        <v>72.800702262714452</v>
      </c>
      <c r="R94" s="8">
        <v>84.576092022199305</v>
      </c>
      <c r="S94" s="20">
        <v>4.75</v>
      </c>
      <c r="T94" s="6">
        <v>310</v>
      </c>
      <c r="U94" s="20">
        <v>10</v>
      </c>
      <c r="V94" s="12">
        <v>0</v>
      </c>
    </row>
    <row r="95" spans="1:22" s="53" customFormat="1" x14ac:dyDescent="0.35">
      <c r="A95" s="2">
        <v>42737</v>
      </c>
      <c r="B95" s="3">
        <f t="shared" si="9"/>
        <v>2017</v>
      </c>
      <c r="C95" s="3">
        <f t="shared" si="10"/>
        <v>1</v>
      </c>
      <c r="D95" s="3">
        <f t="shared" si="11"/>
        <v>2</v>
      </c>
      <c r="E95" s="23">
        <v>25.2</v>
      </c>
      <c r="F95" s="23">
        <v>30.2</v>
      </c>
      <c r="G95" s="23">
        <v>28.6</v>
      </c>
      <c r="H95" s="13">
        <v>27.299999999999997</v>
      </c>
      <c r="I95" s="23">
        <v>31.1</v>
      </c>
      <c r="J95" s="23">
        <v>24</v>
      </c>
      <c r="K95" s="8">
        <v>12</v>
      </c>
      <c r="L95" s="8">
        <v>45</v>
      </c>
      <c r="M95" s="5"/>
      <c r="N95" s="13">
        <v>1008.0375</v>
      </c>
      <c r="O95" s="8">
        <v>92.522839042620618</v>
      </c>
      <c r="P95" s="8">
        <v>73</v>
      </c>
      <c r="Q95" s="8">
        <v>80.577099910520147</v>
      </c>
      <c r="R95" s="8">
        <v>84.655694498940335</v>
      </c>
      <c r="S95" s="20">
        <v>3.3125</v>
      </c>
      <c r="T95" s="6">
        <v>330</v>
      </c>
      <c r="U95" s="20">
        <v>6</v>
      </c>
      <c r="V95" s="12">
        <v>0</v>
      </c>
    </row>
    <row r="96" spans="1:22" s="53" customFormat="1" x14ac:dyDescent="0.35">
      <c r="A96" s="2">
        <v>42738</v>
      </c>
      <c r="B96" s="3">
        <f t="shared" si="9"/>
        <v>2017</v>
      </c>
      <c r="C96" s="3">
        <f t="shared" si="10"/>
        <v>1</v>
      </c>
      <c r="D96" s="3">
        <f t="shared" si="11"/>
        <v>3</v>
      </c>
      <c r="E96" s="23">
        <v>24.4</v>
      </c>
      <c r="F96" s="23">
        <v>30</v>
      </c>
      <c r="G96" s="23">
        <v>28</v>
      </c>
      <c r="H96" s="13">
        <v>26.7</v>
      </c>
      <c r="I96" s="23">
        <v>31</v>
      </c>
      <c r="J96" s="23">
        <v>24.4</v>
      </c>
      <c r="K96" s="8">
        <v>0</v>
      </c>
      <c r="L96" s="8">
        <v>47.5</v>
      </c>
      <c r="M96" s="5"/>
      <c r="N96" s="13">
        <v>1007.4375000000001</v>
      </c>
      <c r="O96" s="8">
        <v>98.285905925882929</v>
      </c>
      <c r="P96" s="8">
        <v>69.078744829381606</v>
      </c>
      <c r="Q96" s="8">
        <v>83.235349595974327</v>
      </c>
      <c r="R96" s="8">
        <v>87.221476569280441</v>
      </c>
      <c r="S96" s="20">
        <v>4.0555555555555554</v>
      </c>
      <c r="T96" s="6">
        <v>240</v>
      </c>
      <c r="U96" s="20">
        <v>8</v>
      </c>
      <c r="V96" s="12">
        <v>0</v>
      </c>
    </row>
    <row r="97" spans="1:22" s="53" customFormat="1" x14ac:dyDescent="0.35">
      <c r="A97" s="2">
        <v>42739</v>
      </c>
      <c r="B97" s="3">
        <f t="shared" si="9"/>
        <v>2017</v>
      </c>
      <c r="C97" s="3">
        <f t="shared" si="10"/>
        <v>1</v>
      </c>
      <c r="D97" s="3">
        <f t="shared" si="11"/>
        <v>4</v>
      </c>
      <c r="E97" s="23">
        <v>25.4</v>
      </c>
      <c r="F97" s="23">
        <v>30.6</v>
      </c>
      <c r="G97" s="23">
        <v>27</v>
      </c>
      <c r="H97" s="13">
        <v>27.1</v>
      </c>
      <c r="I97" s="23">
        <v>31.2</v>
      </c>
      <c r="J97" s="23">
        <v>25.4</v>
      </c>
      <c r="K97" s="8">
        <v>0</v>
      </c>
      <c r="L97" s="8">
        <v>78.75</v>
      </c>
      <c r="M97" s="5"/>
      <c r="N97" s="13">
        <v>1007.4250000000002</v>
      </c>
      <c r="O97" s="8">
        <v>90.135171122088238</v>
      </c>
      <c r="P97" s="8">
        <v>70.729810560105506</v>
      </c>
      <c r="Q97" s="8">
        <v>79.901208197400223</v>
      </c>
      <c r="R97" s="8">
        <v>82.725340250420544</v>
      </c>
      <c r="S97" s="20">
        <v>4.7272727272727275</v>
      </c>
      <c r="T97" s="6">
        <v>270</v>
      </c>
      <c r="U97" s="20">
        <v>13</v>
      </c>
      <c r="V97" s="12">
        <v>0</v>
      </c>
    </row>
    <row r="98" spans="1:22" s="53" customFormat="1" x14ac:dyDescent="0.35">
      <c r="A98" s="2">
        <v>42740</v>
      </c>
      <c r="B98" s="3">
        <f t="shared" si="9"/>
        <v>2017</v>
      </c>
      <c r="C98" s="3">
        <f t="shared" si="10"/>
        <v>1</v>
      </c>
      <c r="D98" s="3">
        <f t="shared" si="11"/>
        <v>5</v>
      </c>
      <c r="E98" s="23">
        <v>25.2</v>
      </c>
      <c r="F98" s="23">
        <v>29.8</v>
      </c>
      <c r="G98" s="23">
        <v>28.4</v>
      </c>
      <c r="H98" s="13">
        <v>27.15</v>
      </c>
      <c r="I98" s="23">
        <v>31</v>
      </c>
      <c r="J98" s="23">
        <v>25.2</v>
      </c>
      <c r="K98" s="8" t="s">
        <v>9</v>
      </c>
      <c r="L98" s="8">
        <v>47.5</v>
      </c>
      <c r="M98" s="5"/>
      <c r="N98" s="13">
        <v>1007.4583333333334</v>
      </c>
      <c r="O98" s="8">
        <v>95.816425446074405</v>
      </c>
      <c r="P98" s="8">
        <v>72.895218629146711</v>
      </c>
      <c r="Q98" s="8">
        <v>79.068811382526079</v>
      </c>
      <c r="R98" s="8">
        <v>85.899220225955389</v>
      </c>
      <c r="S98" s="20">
        <v>4.7727272727272725</v>
      </c>
      <c r="T98" s="6">
        <v>290</v>
      </c>
      <c r="U98" s="20">
        <v>12</v>
      </c>
      <c r="V98" s="12">
        <v>0</v>
      </c>
    </row>
    <row r="99" spans="1:22" s="53" customFormat="1" x14ac:dyDescent="0.35">
      <c r="A99" s="2">
        <v>42741</v>
      </c>
      <c r="B99" s="3">
        <f t="shared" si="9"/>
        <v>2017</v>
      </c>
      <c r="C99" s="3">
        <f t="shared" si="10"/>
        <v>1</v>
      </c>
      <c r="D99" s="3">
        <f t="shared" si="11"/>
        <v>6</v>
      </c>
      <c r="E99" s="23">
        <v>25.6</v>
      </c>
      <c r="F99" s="23">
        <v>27.2</v>
      </c>
      <c r="G99" s="23">
        <v>27.6</v>
      </c>
      <c r="H99" s="13">
        <v>26.5</v>
      </c>
      <c r="I99" s="23">
        <v>33.200000000000003</v>
      </c>
      <c r="J99" s="23">
        <v>24.8</v>
      </c>
      <c r="K99" s="8">
        <v>0.8</v>
      </c>
      <c r="L99" s="8">
        <v>0</v>
      </c>
      <c r="M99" s="5"/>
      <c r="N99" s="13">
        <v>1006.8291666666669</v>
      </c>
      <c r="O99" s="8">
        <v>95.036512668391595</v>
      </c>
      <c r="P99" s="8">
        <v>82.939665927655483</v>
      </c>
      <c r="Q99" s="8">
        <v>80.167233141575451</v>
      </c>
      <c r="R99" s="8">
        <v>88.294981101503538</v>
      </c>
      <c r="S99" s="20">
        <v>3.65</v>
      </c>
      <c r="T99" s="6">
        <v>290</v>
      </c>
      <c r="U99" s="20">
        <v>13</v>
      </c>
      <c r="V99" s="12">
        <v>0</v>
      </c>
    </row>
    <row r="100" spans="1:22" s="53" customFormat="1" x14ac:dyDescent="0.35">
      <c r="A100" s="2">
        <v>42742</v>
      </c>
      <c r="B100" s="3">
        <f t="shared" si="9"/>
        <v>2017</v>
      </c>
      <c r="C100" s="3">
        <f t="shared" si="10"/>
        <v>1</v>
      </c>
      <c r="D100" s="3">
        <f t="shared" si="11"/>
        <v>7</v>
      </c>
      <c r="E100" s="23">
        <v>24.6</v>
      </c>
      <c r="F100" s="23">
        <v>29.2</v>
      </c>
      <c r="G100" s="23">
        <v>29.2</v>
      </c>
      <c r="H100" s="13">
        <v>26.900000000000002</v>
      </c>
      <c r="I100" s="23">
        <v>31.2</v>
      </c>
      <c r="J100" s="23">
        <v>24.6</v>
      </c>
      <c r="K100" s="8" t="s">
        <v>9</v>
      </c>
      <c r="L100" s="8">
        <v>95</v>
      </c>
      <c r="M100" s="5"/>
      <c r="N100" s="13">
        <v>1006.4916666666668</v>
      </c>
      <c r="O100" s="8">
        <v>94.084526968228559</v>
      </c>
      <c r="P100" s="8">
        <v>76.645900266997572</v>
      </c>
      <c r="Q100" s="8">
        <v>79.427112562018294</v>
      </c>
      <c r="R100" s="8">
        <v>86.06051669136825</v>
      </c>
      <c r="S100" s="20">
        <v>4.8888888888888893</v>
      </c>
      <c r="T100" s="6">
        <v>310</v>
      </c>
      <c r="U100" s="20">
        <v>11</v>
      </c>
      <c r="V100" s="12">
        <v>0</v>
      </c>
    </row>
    <row r="101" spans="1:22" s="53" customFormat="1" x14ac:dyDescent="0.35">
      <c r="A101" s="2">
        <v>42743</v>
      </c>
      <c r="B101" s="3">
        <f t="shared" si="9"/>
        <v>2017</v>
      </c>
      <c r="C101" s="3">
        <f t="shared" si="10"/>
        <v>1</v>
      </c>
      <c r="D101" s="3">
        <f t="shared" si="11"/>
        <v>8</v>
      </c>
      <c r="E101" s="23">
        <v>24.7</v>
      </c>
      <c r="F101" s="23">
        <v>30.7</v>
      </c>
      <c r="G101" s="23">
        <v>29.4</v>
      </c>
      <c r="H101" s="13">
        <v>27.375</v>
      </c>
      <c r="I101" s="23">
        <v>31.4</v>
      </c>
      <c r="J101" s="23">
        <v>24.7</v>
      </c>
      <c r="K101" s="8" t="s">
        <v>9</v>
      </c>
      <c r="L101" s="8">
        <v>100</v>
      </c>
      <c r="M101" s="5"/>
      <c r="N101" s="13">
        <v>1006.4000000000001</v>
      </c>
      <c r="O101" s="8">
        <v>94.098370550241484</v>
      </c>
      <c r="P101" s="8">
        <v>74.037563712402786</v>
      </c>
      <c r="Q101" s="8">
        <v>76.75587420087362</v>
      </c>
      <c r="R101" s="8">
        <v>84.74754475343984</v>
      </c>
      <c r="S101" s="20">
        <v>4.8499999999999996</v>
      </c>
      <c r="T101" s="6">
        <v>220</v>
      </c>
      <c r="U101" s="20">
        <v>10</v>
      </c>
      <c r="V101" s="12">
        <v>0</v>
      </c>
    </row>
    <row r="102" spans="1:22" s="53" customFormat="1" x14ac:dyDescent="0.35">
      <c r="A102" s="2">
        <v>42744</v>
      </c>
      <c r="B102" s="3">
        <f t="shared" si="9"/>
        <v>2017</v>
      </c>
      <c r="C102" s="3">
        <f t="shared" si="10"/>
        <v>1</v>
      </c>
      <c r="D102" s="3">
        <f t="shared" si="11"/>
        <v>9</v>
      </c>
      <c r="E102" s="23">
        <v>25.6</v>
      </c>
      <c r="F102" s="23">
        <v>30</v>
      </c>
      <c r="G102" s="23">
        <v>29.2</v>
      </c>
      <c r="H102" s="13">
        <v>27.6</v>
      </c>
      <c r="I102" s="23">
        <v>31</v>
      </c>
      <c r="J102" s="23">
        <v>25</v>
      </c>
      <c r="K102" s="8" t="s">
        <v>9</v>
      </c>
      <c r="L102" s="8">
        <v>100</v>
      </c>
      <c r="M102" s="5"/>
      <c r="N102" s="13">
        <v>1007.2166666666667</v>
      </c>
      <c r="O102" s="8">
        <v>93.405845462156279</v>
      </c>
      <c r="P102" s="8">
        <v>74.333949904168392</v>
      </c>
      <c r="Q102" s="8">
        <v>73.922438343767823</v>
      </c>
      <c r="R102" s="8">
        <v>83.76701979306219</v>
      </c>
      <c r="S102" s="20">
        <v>4.882352941176471</v>
      </c>
      <c r="T102" s="6">
        <v>340</v>
      </c>
      <c r="U102" s="20">
        <v>11</v>
      </c>
      <c r="V102" s="12">
        <v>0</v>
      </c>
    </row>
    <row r="103" spans="1:22" s="53" customFormat="1" x14ac:dyDescent="0.35">
      <c r="A103" s="2">
        <v>42745</v>
      </c>
      <c r="B103" s="3">
        <f t="shared" si="9"/>
        <v>2017</v>
      </c>
      <c r="C103" s="3">
        <f t="shared" si="10"/>
        <v>1</v>
      </c>
      <c r="D103" s="3">
        <f t="shared" si="11"/>
        <v>10</v>
      </c>
      <c r="E103" s="23">
        <v>25.4</v>
      </c>
      <c r="F103" s="23">
        <v>32.200000000000003</v>
      </c>
      <c r="G103" s="23">
        <v>29.6</v>
      </c>
      <c r="H103" s="13">
        <v>28.15</v>
      </c>
      <c r="I103" s="23">
        <v>32.4</v>
      </c>
      <c r="J103" s="23">
        <v>25.4</v>
      </c>
      <c r="K103" s="8">
        <v>0.4</v>
      </c>
      <c r="L103" s="8">
        <v>100</v>
      </c>
      <c r="M103" s="5"/>
      <c r="N103" s="13">
        <v>1008.1999999999998</v>
      </c>
      <c r="O103" s="8">
        <v>95.835456698951191</v>
      </c>
      <c r="P103" s="8">
        <v>61.929989388167847</v>
      </c>
      <c r="Q103" s="8">
        <v>74.129215437750375</v>
      </c>
      <c r="R103" s="8">
        <v>81.932529555955156</v>
      </c>
      <c r="S103" s="20">
        <v>5.4</v>
      </c>
      <c r="T103" s="6">
        <v>200</v>
      </c>
      <c r="U103" s="20">
        <v>13</v>
      </c>
      <c r="V103" s="12">
        <v>0</v>
      </c>
    </row>
    <row r="104" spans="1:22" s="53" customFormat="1" x14ac:dyDescent="0.35">
      <c r="A104" s="2">
        <v>42746</v>
      </c>
      <c r="B104" s="3">
        <f t="shared" si="9"/>
        <v>2017</v>
      </c>
      <c r="C104" s="3">
        <f t="shared" si="10"/>
        <v>1</v>
      </c>
      <c r="D104" s="3">
        <f t="shared" si="11"/>
        <v>11</v>
      </c>
      <c r="E104" s="23">
        <v>25.6</v>
      </c>
      <c r="F104" s="23">
        <v>31.4</v>
      </c>
      <c r="G104" s="23">
        <v>29.2</v>
      </c>
      <c r="H104" s="13">
        <v>27.95</v>
      </c>
      <c r="I104" s="23">
        <v>32</v>
      </c>
      <c r="J104" s="23">
        <v>25.4</v>
      </c>
      <c r="K104" s="8" t="s">
        <v>9</v>
      </c>
      <c r="L104" s="8">
        <v>100</v>
      </c>
      <c r="M104" s="5"/>
      <c r="N104" s="13">
        <v>1007.8416666666666</v>
      </c>
      <c r="O104" s="8">
        <v>91.783046108780468</v>
      </c>
      <c r="P104" s="8">
        <v>71.185536809637327</v>
      </c>
      <c r="Q104" s="8">
        <v>79.418328883858862</v>
      </c>
      <c r="R104" s="8">
        <v>83.542489477764278</v>
      </c>
      <c r="S104" s="20">
        <v>5.75</v>
      </c>
      <c r="T104" s="6">
        <v>280</v>
      </c>
      <c r="U104" s="20">
        <v>12</v>
      </c>
      <c r="V104" s="12">
        <v>0</v>
      </c>
    </row>
    <row r="105" spans="1:22" s="53" customFormat="1" x14ac:dyDescent="0.35">
      <c r="A105" s="2">
        <v>42747</v>
      </c>
      <c r="B105" s="3">
        <f t="shared" si="9"/>
        <v>2017</v>
      </c>
      <c r="C105" s="3">
        <f t="shared" si="10"/>
        <v>1</v>
      </c>
      <c r="D105" s="3">
        <f t="shared" si="11"/>
        <v>12</v>
      </c>
      <c r="E105" s="23">
        <v>25.8</v>
      </c>
      <c r="F105" s="23">
        <v>30.2</v>
      </c>
      <c r="G105" s="23">
        <v>24.2</v>
      </c>
      <c r="H105" s="13">
        <v>26.5</v>
      </c>
      <c r="I105" s="23">
        <v>31.4</v>
      </c>
      <c r="J105" s="23">
        <v>23.4</v>
      </c>
      <c r="K105" s="8">
        <v>54.9</v>
      </c>
      <c r="L105" s="8">
        <v>43.75</v>
      </c>
      <c r="M105" s="5"/>
      <c r="N105" s="13">
        <v>1007.4000000000004</v>
      </c>
      <c r="O105" s="8">
        <v>89.426197410573309</v>
      </c>
      <c r="P105" s="8">
        <v>75.770319332019085</v>
      </c>
      <c r="Q105" s="8">
        <v>98.278575185788782</v>
      </c>
      <c r="R105" s="8">
        <v>88.225322334738621</v>
      </c>
      <c r="S105" s="20">
        <v>5.85</v>
      </c>
      <c r="T105" s="6">
        <v>280</v>
      </c>
      <c r="U105" s="20">
        <v>18</v>
      </c>
      <c r="V105" s="12">
        <v>0</v>
      </c>
    </row>
    <row r="106" spans="1:22" s="53" customFormat="1" x14ac:dyDescent="0.35">
      <c r="A106" s="2">
        <v>42748</v>
      </c>
      <c r="B106" s="3">
        <f t="shared" si="9"/>
        <v>2017</v>
      </c>
      <c r="C106" s="3">
        <f t="shared" si="10"/>
        <v>1</v>
      </c>
      <c r="D106" s="3">
        <f t="shared" si="11"/>
        <v>13</v>
      </c>
      <c r="E106" s="23">
        <v>24.2</v>
      </c>
      <c r="F106" s="23">
        <v>29.6</v>
      </c>
      <c r="G106" s="23">
        <v>26.6</v>
      </c>
      <c r="H106" s="13">
        <v>26.15</v>
      </c>
      <c r="I106" s="23">
        <v>30.4</v>
      </c>
      <c r="J106" s="23">
        <v>24</v>
      </c>
      <c r="K106" s="8">
        <v>18.899999999999999</v>
      </c>
      <c r="L106" s="8">
        <v>15</v>
      </c>
      <c r="M106" s="5"/>
      <c r="N106" s="13">
        <v>1007.7333333333332</v>
      </c>
      <c r="O106" s="8">
        <v>97.421659778539777</v>
      </c>
      <c r="P106" s="8">
        <v>74.117489671683884</v>
      </c>
      <c r="Q106" s="8">
        <v>96.752705240387243</v>
      </c>
      <c r="R106" s="8">
        <v>91.428378617287663</v>
      </c>
      <c r="S106" s="20">
        <v>5.1052631578947372</v>
      </c>
      <c r="T106" s="6">
        <v>210</v>
      </c>
      <c r="U106" s="20">
        <v>13</v>
      </c>
      <c r="V106" s="12">
        <v>0</v>
      </c>
    </row>
    <row r="107" spans="1:22" s="53" customFormat="1" x14ac:dyDescent="0.35">
      <c r="A107" s="2">
        <v>42749</v>
      </c>
      <c r="B107" s="3">
        <f t="shared" si="9"/>
        <v>2017</v>
      </c>
      <c r="C107" s="3">
        <f t="shared" si="10"/>
        <v>1</v>
      </c>
      <c r="D107" s="3">
        <f t="shared" si="11"/>
        <v>14</v>
      </c>
      <c r="E107" s="23">
        <v>24.4</v>
      </c>
      <c r="F107" s="23">
        <v>29.9</v>
      </c>
      <c r="G107" s="23">
        <v>26.2</v>
      </c>
      <c r="H107" s="13">
        <v>26.224999999999998</v>
      </c>
      <c r="I107" s="23">
        <v>30.2</v>
      </c>
      <c r="J107" s="23">
        <v>24</v>
      </c>
      <c r="K107" s="8">
        <v>0</v>
      </c>
      <c r="L107" s="8">
        <v>33.75</v>
      </c>
      <c r="M107" s="5"/>
      <c r="N107" s="13">
        <v>1008.3749999999999</v>
      </c>
      <c r="O107" s="8">
        <v>96.584298892098602</v>
      </c>
      <c r="P107" s="8">
        <v>76.291586581848506</v>
      </c>
      <c r="Q107" s="8">
        <v>85.623516020385111</v>
      </c>
      <c r="R107" s="8">
        <v>88.770925096607712</v>
      </c>
      <c r="S107" s="20">
        <v>5.5</v>
      </c>
      <c r="T107" s="6">
        <v>250</v>
      </c>
      <c r="U107" s="20">
        <v>9</v>
      </c>
      <c r="V107" s="12">
        <v>0</v>
      </c>
    </row>
    <row r="108" spans="1:22" s="53" customFormat="1" x14ac:dyDescent="0.35">
      <c r="A108" s="2">
        <v>42750</v>
      </c>
      <c r="B108" s="3">
        <f t="shared" si="9"/>
        <v>2017</v>
      </c>
      <c r="C108" s="3">
        <f t="shared" si="10"/>
        <v>1</v>
      </c>
      <c r="D108" s="3">
        <f t="shared" si="11"/>
        <v>15</v>
      </c>
      <c r="E108" s="23">
        <v>24</v>
      </c>
      <c r="F108" s="23">
        <v>29.6</v>
      </c>
      <c r="G108" s="23">
        <v>28.3</v>
      </c>
      <c r="H108" s="13">
        <v>26.474999999999998</v>
      </c>
      <c r="I108" s="23">
        <v>31</v>
      </c>
      <c r="J108" s="23">
        <v>23.7</v>
      </c>
      <c r="K108" s="8">
        <v>4.5</v>
      </c>
      <c r="L108" s="8">
        <v>32.5</v>
      </c>
      <c r="M108" s="5"/>
      <c r="N108" s="13">
        <v>1008.5166666666669</v>
      </c>
      <c r="O108" s="8">
        <v>94.844724439483684</v>
      </c>
      <c r="P108" s="8">
        <v>70.113409326034187</v>
      </c>
      <c r="Q108" s="8">
        <v>74.802052945090296</v>
      </c>
      <c r="R108" s="8">
        <v>83.651227787522956</v>
      </c>
      <c r="S108" s="20">
        <v>8.75</v>
      </c>
      <c r="T108" s="6">
        <v>260</v>
      </c>
      <c r="U108" s="20">
        <v>99</v>
      </c>
      <c r="V108" s="12">
        <v>0</v>
      </c>
    </row>
    <row r="109" spans="1:22" s="53" customFormat="1" x14ac:dyDescent="0.35">
      <c r="A109" s="2">
        <v>42751</v>
      </c>
      <c r="B109" s="3">
        <f t="shared" si="9"/>
        <v>2017</v>
      </c>
      <c r="C109" s="3">
        <f t="shared" si="10"/>
        <v>1</v>
      </c>
      <c r="D109" s="3">
        <f t="shared" si="11"/>
        <v>16</v>
      </c>
      <c r="E109" s="23">
        <v>24.1</v>
      </c>
      <c r="F109" s="23">
        <v>27.8</v>
      </c>
      <c r="G109" s="23">
        <v>27.7</v>
      </c>
      <c r="H109" s="13">
        <v>25.925000000000001</v>
      </c>
      <c r="I109" s="23">
        <v>28.4</v>
      </c>
      <c r="J109" s="23">
        <v>24</v>
      </c>
      <c r="K109" s="8">
        <v>0.1</v>
      </c>
      <c r="L109" s="8">
        <v>0</v>
      </c>
      <c r="M109" s="5"/>
      <c r="N109" s="13">
        <v>1008.6208333333333</v>
      </c>
      <c r="O109" s="8">
        <v>95.70580451837202</v>
      </c>
      <c r="P109" s="8">
        <v>80.232436648143718</v>
      </c>
      <c r="Q109" s="8">
        <v>80.924301138073915</v>
      </c>
      <c r="R109" s="8">
        <v>88.142086705740425</v>
      </c>
      <c r="S109" s="20">
        <v>5.882352941176471</v>
      </c>
      <c r="T109" s="6">
        <v>220</v>
      </c>
      <c r="U109" s="20">
        <v>13</v>
      </c>
      <c r="V109" s="12">
        <v>0</v>
      </c>
    </row>
    <row r="110" spans="1:22" s="53" customFormat="1" x14ac:dyDescent="0.35">
      <c r="A110" s="2">
        <v>42752</v>
      </c>
      <c r="B110" s="3">
        <f t="shared" si="9"/>
        <v>2017</v>
      </c>
      <c r="C110" s="3">
        <f t="shared" si="10"/>
        <v>1</v>
      </c>
      <c r="D110" s="3">
        <f t="shared" si="11"/>
        <v>17</v>
      </c>
      <c r="E110" s="23">
        <v>24</v>
      </c>
      <c r="F110" s="23">
        <v>27.9</v>
      </c>
      <c r="G110" s="23">
        <v>27.1</v>
      </c>
      <c r="H110" s="13">
        <v>25.75</v>
      </c>
      <c r="I110" s="23">
        <v>28.6</v>
      </c>
      <c r="J110" s="23">
        <v>23.8</v>
      </c>
      <c r="K110" s="8">
        <v>1.4000000000000001</v>
      </c>
      <c r="L110" s="8">
        <v>11.25</v>
      </c>
      <c r="M110" s="5"/>
      <c r="N110" s="13">
        <v>1010.0833333333335</v>
      </c>
      <c r="O110" s="8">
        <v>97.408484777513536</v>
      </c>
      <c r="P110" s="8">
        <v>80.268174192915765</v>
      </c>
      <c r="Q110" s="8">
        <v>82.149296653557485</v>
      </c>
      <c r="R110" s="8">
        <v>89.308610100375077</v>
      </c>
      <c r="S110" s="20">
        <v>5.2352941176470589</v>
      </c>
      <c r="T110" s="6">
        <v>270</v>
      </c>
      <c r="U110" s="20">
        <v>11</v>
      </c>
      <c r="V110" s="12">
        <v>0</v>
      </c>
    </row>
    <row r="111" spans="1:22" s="53" customFormat="1" x14ac:dyDescent="0.35">
      <c r="A111" s="2">
        <v>42753</v>
      </c>
      <c r="B111" s="3">
        <f t="shared" si="9"/>
        <v>2017</v>
      </c>
      <c r="C111" s="3">
        <f t="shared" si="10"/>
        <v>1</v>
      </c>
      <c r="D111" s="3">
        <f t="shared" si="11"/>
        <v>18</v>
      </c>
      <c r="E111" s="23">
        <v>24.2</v>
      </c>
      <c r="F111" s="23">
        <v>30.8</v>
      </c>
      <c r="G111" s="23">
        <v>29.4</v>
      </c>
      <c r="H111" s="13">
        <v>27.15</v>
      </c>
      <c r="I111" s="23">
        <v>32</v>
      </c>
      <c r="J111" s="23">
        <v>24.2</v>
      </c>
      <c r="K111" s="8" t="s">
        <v>9</v>
      </c>
      <c r="L111" s="8">
        <v>88.75</v>
      </c>
      <c r="M111" s="5"/>
      <c r="N111" s="13">
        <v>1010.4041666666668</v>
      </c>
      <c r="O111" s="8">
        <v>93.178505499383107</v>
      </c>
      <c r="P111" s="8">
        <v>67.017739877742216</v>
      </c>
      <c r="Q111" s="8">
        <v>74.009945010199885</v>
      </c>
      <c r="R111" s="8">
        <v>81.846173971677075</v>
      </c>
      <c r="S111" s="20">
        <v>6.5</v>
      </c>
      <c r="T111" s="6">
        <v>290</v>
      </c>
      <c r="U111" s="20">
        <v>10</v>
      </c>
      <c r="V111" s="12">
        <v>0</v>
      </c>
    </row>
    <row r="112" spans="1:22" s="53" customFormat="1" x14ac:dyDescent="0.35">
      <c r="A112" s="2">
        <v>42754</v>
      </c>
      <c r="B112" s="3">
        <f t="shared" si="9"/>
        <v>2017</v>
      </c>
      <c r="C112" s="3">
        <f t="shared" si="10"/>
        <v>1</v>
      </c>
      <c r="D112" s="3">
        <f t="shared" si="11"/>
        <v>19</v>
      </c>
      <c r="E112" s="23">
        <v>24.6</v>
      </c>
      <c r="F112" s="23">
        <v>30.2</v>
      </c>
      <c r="G112" s="23">
        <v>28.8</v>
      </c>
      <c r="H112" s="13">
        <v>27.05</v>
      </c>
      <c r="I112" s="23">
        <v>29</v>
      </c>
      <c r="J112" s="23">
        <v>24.6</v>
      </c>
      <c r="K112" s="8">
        <v>0.4</v>
      </c>
      <c r="L112" s="8">
        <v>33.75</v>
      </c>
      <c r="M112" s="5"/>
      <c r="N112" s="13">
        <v>1009.6791666666664</v>
      </c>
      <c r="O112" s="8">
        <v>94.913958153568657</v>
      </c>
      <c r="P112" s="8">
        <v>70.478954863817904</v>
      </c>
      <c r="Q112" s="8">
        <v>78.533557610829448</v>
      </c>
      <c r="R112" s="8">
        <v>84.71010719544617</v>
      </c>
      <c r="S112" s="20">
        <v>5.5</v>
      </c>
      <c r="T112" s="6">
        <v>280</v>
      </c>
      <c r="U112" s="20">
        <v>13</v>
      </c>
      <c r="V112" s="12">
        <v>0</v>
      </c>
    </row>
    <row r="113" spans="1:22" s="53" customFormat="1" x14ac:dyDescent="0.35">
      <c r="A113" s="2">
        <v>42755</v>
      </c>
      <c r="B113" s="3">
        <f t="shared" si="9"/>
        <v>2017</v>
      </c>
      <c r="C113" s="3">
        <f t="shared" si="10"/>
        <v>1</v>
      </c>
      <c r="D113" s="3">
        <f t="shared" si="11"/>
        <v>20</v>
      </c>
      <c r="E113" s="23">
        <v>24.8</v>
      </c>
      <c r="F113" s="23">
        <v>30.6</v>
      </c>
      <c r="G113" s="23">
        <v>23.1</v>
      </c>
      <c r="H113" s="13">
        <v>25.825000000000003</v>
      </c>
      <c r="I113" s="23">
        <v>30.6</v>
      </c>
      <c r="J113" s="23">
        <v>23.1</v>
      </c>
      <c r="K113" s="8">
        <v>28.099999999999998</v>
      </c>
      <c r="L113" s="8">
        <v>73.75</v>
      </c>
      <c r="M113" s="5"/>
      <c r="N113" s="13">
        <v>1009.6333333333332</v>
      </c>
      <c r="O113" s="8">
        <v>96.614747681406172</v>
      </c>
      <c r="P113" s="8">
        <v>68.794657573085061</v>
      </c>
      <c r="Q113" s="8">
        <v>97.350958586784245</v>
      </c>
      <c r="R113" s="8">
        <v>89.843777880670416</v>
      </c>
      <c r="S113" s="20">
        <v>6.5</v>
      </c>
      <c r="T113" s="6">
        <v>220</v>
      </c>
      <c r="U113" s="20">
        <v>27</v>
      </c>
      <c r="V113" s="12">
        <v>0</v>
      </c>
    </row>
    <row r="114" spans="1:22" s="53" customFormat="1" x14ac:dyDescent="0.35">
      <c r="A114" s="2">
        <v>42756</v>
      </c>
      <c r="B114" s="3">
        <f t="shared" si="9"/>
        <v>2017</v>
      </c>
      <c r="C114" s="3">
        <f t="shared" si="10"/>
        <v>1</v>
      </c>
      <c r="D114" s="3">
        <f t="shared" si="11"/>
        <v>21</v>
      </c>
      <c r="E114" s="23">
        <v>24.6</v>
      </c>
      <c r="F114" s="23">
        <v>29.9</v>
      </c>
      <c r="G114" s="23">
        <v>28.7</v>
      </c>
      <c r="H114" s="13">
        <v>26.95</v>
      </c>
      <c r="I114" s="23">
        <v>31.6</v>
      </c>
      <c r="J114" s="23">
        <v>24.6</v>
      </c>
      <c r="K114" s="8" t="s">
        <v>9</v>
      </c>
      <c r="L114" s="8">
        <v>77.5</v>
      </c>
      <c r="M114" s="5"/>
      <c r="N114" s="13">
        <v>1010.7291666666669</v>
      </c>
      <c r="O114" s="8">
        <v>91.587168216276311</v>
      </c>
      <c r="P114" s="8">
        <v>72.270000642502069</v>
      </c>
      <c r="Q114" s="8">
        <v>78.47992810524461</v>
      </c>
      <c r="R114" s="8">
        <v>83.481066295074825</v>
      </c>
      <c r="S114" s="20">
        <v>5.0666666666666664</v>
      </c>
      <c r="T114" s="6">
        <v>270</v>
      </c>
      <c r="U114" s="20">
        <v>8</v>
      </c>
      <c r="V114" s="12">
        <v>0</v>
      </c>
    </row>
    <row r="115" spans="1:22" s="53" customFormat="1" x14ac:dyDescent="0.35">
      <c r="A115" s="2">
        <v>42757</v>
      </c>
      <c r="B115" s="3">
        <f t="shared" si="9"/>
        <v>2017</v>
      </c>
      <c r="C115" s="3">
        <f t="shared" si="10"/>
        <v>1</v>
      </c>
      <c r="D115" s="3">
        <f t="shared" si="11"/>
        <v>22</v>
      </c>
      <c r="E115" s="23">
        <v>24.8</v>
      </c>
      <c r="F115" s="23">
        <v>31</v>
      </c>
      <c r="G115" s="23">
        <v>28.4</v>
      </c>
      <c r="H115" s="13">
        <v>27.25</v>
      </c>
      <c r="I115" s="23">
        <v>31.5</v>
      </c>
      <c r="J115" s="23">
        <v>24.6</v>
      </c>
      <c r="K115" s="8" t="s">
        <v>9</v>
      </c>
      <c r="L115" s="8">
        <v>100</v>
      </c>
      <c r="M115" s="5"/>
      <c r="N115" s="13">
        <v>1010.8249999999997</v>
      </c>
      <c r="O115" s="8">
        <v>89.982453959199219</v>
      </c>
      <c r="P115" s="8">
        <v>68.389766109477208</v>
      </c>
      <c r="Q115" s="8">
        <v>80.480461970960633</v>
      </c>
      <c r="R115" s="8">
        <v>82.20878399970907</v>
      </c>
      <c r="S115" s="20">
        <v>6.0714285714285712</v>
      </c>
      <c r="T115" s="6">
        <v>260</v>
      </c>
      <c r="U115" s="20">
        <v>13</v>
      </c>
      <c r="V115" s="12">
        <v>0</v>
      </c>
    </row>
    <row r="116" spans="1:22" s="53" customFormat="1" x14ac:dyDescent="0.35">
      <c r="A116" s="2">
        <v>42758</v>
      </c>
      <c r="B116" s="3">
        <f t="shared" si="9"/>
        <v>2017</v>
      </c>
      <c r="C116" s="3">
        <f t="shared" si="10"/>
        <v>1</v>
      </c>
      <c r="D116" s="3">
        <f t="shared" si="11"/>
        <v>23</v>
      </c>
      <c r="E116" s="23">
        <v>25</v>
      </c>
      <c r="F116" s="23">
        <v>30.2</v>
      </c>
      <c r="G116" s="23">
        <v>24.2</v>
      </c>
      <c r="H116" s="13">
        <v>26.1</v>
      </c>
      <c r="I116" s="23">
        <v>31.4</v>
      </c>
      <c r="J116" s="23">
        <v>24</v>
      </c>
      <c r="K116" s="8">
        <v>3.9</v>
      </c>
      <c r="L116" s="8">
        <v>38.75</v>
      </c>
      <c r="M116" s="5"/>
      <c r="N116" s="13">
        <v>1010.5333333333333</v>
      </c>
      <c r="O116" s="8">
        <v>93.306910349140182</v>
      </c>
      <c r="P116" s="8">
        <v>67.893382413957937</v>
      </c>
      <c r="Q116" s="8">
        <v>94.867989478706477</v>
      </c>
      <c r="R116" s="8">
        <v>87.343798147736194</v>
      </c>
      <c r="S116" s="20">
        <v>4.6315789473684212</v>
      </c>
      <c r="T116" s="6">
        <v>280</v>
      </c>
      <c r="U116" s="20">
        <v>11</v>
      </c>
      <c r="V116" s="12">
        <v>0</v>
      </c>
    </row>
    <row r="117" spans="1:22" s="53" customFormat="1" x14ac:dyDescent="0.35">
      <c r="A117" s="2">
        <v>42759</v>
      </c>
      <c r="B117" s="3">
        <f t="shared" si="9"/>
        <v>2017</v>
      </c>
      <c r="C117" s="3">
        <f t="shared" si="10"/>
        <v>1</v>
      </c>
      <c r="D117" s="3">
        <f t="shared" si="11"/>
        <v>24</v>
      </c>
      <c r="E117" s="23">
        <v>24.2</v>
      </c>
      <c r="F117" s="23">
        <v>29.2</v>
      </c>
      <c r="G117" s="23">
        <v>28.8</v>
      </c>
      <c r="H117" s="13">
        <v>26.599999999999998</v>
      </c>
      <c r="I117" s="23">
        <v>30.5</v>
      </c>
      <c r="J117" s="23">
        <v>24.2</v>
      </c>
      <c r="K117" s="8">
        <v>1.9</v>
      </c>
      <c r="L117" s="8">
        <v>63.749999999999993</v>
      </c>
      <c r="M117" s="5"/>
      <c r="N117" s="13">
        <v>1010.5708333333333</v>
      </c>
      <c r="O117" s="8">
        <v>94.022123324049218</v>
      </c>
      <c r="P117" s="8">
        <v>76.623313666016188</v>
      </c>
      <c r="Q117" s="8">
        <v>76.437355259527223</v>
      </c>
      <c r="R117" s="8">
        <v>85.276228893410462</v>
      </c>
      <c r="S117" s="20">
        <v>3.8181818181818183</v>
      </c>
      <c r="T117" s="6">
        <v>190</v>
      </c>
      <c r="U117" s="20">
        <v>8</v>
      </c>
      <c r="V117" s="12">
        <v>0</v>
      </c>
    </row>
    <row r="118" spans="1:22" s="53" customFormat="1" x14ac:dyDescent="0.35">
      <c r="A118" s="2">
        <v>42760</v>
      </c>
      <c r="B118" s="3">
        <f t="shared" si="9"/>
        <v>2017</v>
      </c>
      <c r="C118" s="3">
        <f t="shared" si="10"/>
        <v>1</v>
      </c>
      <c r="D118" s="3">
        <f t="shared" si="11"/>
        <v>25</v>
      </c>
      <c r="E118" s="23">
        <v>24.8</v>
      </c>
      <c r="F118" s="23">
        <v>29.5</v>
      </c>
      <c r="G118" s="23">
        <v>27.8</v>
      </c>
      <c r="H118" s="13">
        <v>26.724999999999998</v>
      </c>
      <c r="I118" s="23">
        <v>31.3</v>
      </c>
      <c r="J118" s="23">
        <v>23.8</v>
      </c>
      <c r="K118" s="8">
        <v>0.7</v>
      </c>
      <c r="L118" s="8">
        <v>27.500000000000004</v>
      </c>
      <c r="M118" s="5"/>
      <c r="N118" s="13">
        <v>1010.5416666666666</v>
      </c>
      <c r="O118" s="8">
        <v>96.613427867979667</v>
      </c>
      <c r="P118" s="8">
        <v>76.082360762408399</v>
      </c>
      <c r="Q118" s="8">
        <v>83.151503120822895</v>
      </c>
      <c r="R118" s="8">
        <v>88.115179904797657</v>
      </c>
      <c r="S118" s="20">
        <v>5.5454545454545459</v>
      </c>
      <c r="T118" s="6">
        <v>280</v>
      </c>
      <c r="U118" s="20">
        <v>15</v>
      </c>
      <c r="V118" s="12">
        <v>0</v>
      </c>
    </row>
    <row r="119" spans="1:22" s="53" customFormat="1" x14ac:dyDescent="0.35">
      <c r="A119" s="2">
        <v>42761</v>
      </c>
      <c r="B119" s="3">
        <f t="shared" si="9"/>
        <v>2017</v>
      </c>
      <c r="C119" s="3">
        <f t="shared" si="10"/>
        <v>1</v>
      </c>
      <c r="D119" s="3">
        <f t="shared" si="11"/>
        <v>26</v>
      </c>
      <c r="E119" s="23">
        <v>24.2</v>
      </c>
      <c r="F119" s="23">
        <v>27.4</v>
      </c>
      <c r="G119" s="23">
        <v>26.5</v>
      </c>
      <c r="H119" s="13">
        <v>25.574999999999999</v>
      </c>
      <c r="I119" s="23">
        <v>29.8</v>
      </c>
      <c r="J119" s="23">
        <v>23.5</v>
      </c>
      <c r="K119" s="8">
        <v>0</v>
      </c>
      <c r="L119" s="8">
        <v>13.750000000000002</v>
      </c>
      <c r="M119" s="5"/>
      <c r="N119" s="13">
        <v>1009.8249999999999</v>
      </c>
      <c r="O119" s="8">
        <v>88.193465335342509</v>
      </c>
      <c r="P119" s="8">
        <v>80.054053503798372</v>
      </c>
      <c r="Q119" s="8">
        <v>82.669169997308018</v>
      </c>
      <c r="R119" s="8">
        <v>84.777538542947852</v>
      </c>
      <c r="S119" s="20">
        <v>6.3636363636363633</v>
      </c>
      <c r="T119" s="6">
        <v>230</v>
      </c>
      <c r="U119" s="20">
        <v>15</v>
      </c>
      <c r="V119" s="12">
        <v>0</v>
      </c>
    </row>
    <row r="120" spans="1:22" s="53" customFormat="1" x14ac:dyDescent="0.35">
      <c r="A120" s="2">
        <v>42762</v>
      </c>
      <c r="B120" s="3">
        <f t="shared" si="9"/>
        <v>2017</v>
      </c>
      <c r="C120" s="3">
        <f t="shared" si="10"/>
        <v>1</v>
      </c>
      <c r="D120" s="3">
        <f t="shared" si="11"/>
        <v>27</v>
      </c>
      <c r="E120" s="23">
        <v>25.4</v>
      </c>
      <c r="F120" s="23">
        <v>29.2</v>
      </c>
      <c r="G120" s="23">
        <v>28.6</v>
      </c>
      <c r="H120" s="13">
        <v>27.15</v>
      </c>
      <c r="I120" s="23">
        <v>30</v>
      </c>
      <c r="J120" s="23">
        <v>24.5</v>
      </c>
      <c r="K120" s="8">
        <v>0.8</v>
      </c>
      <c r="L120" s="8">
        <v>13.750000000000002</v>
      </c>
      <c r="M120" s="5"/>
      <c r="N120" s="13">
        <v>1008.1541666666667</v>
      </c>
      <c r="O120" s="8">
        <v>91.745863250193239</v>
      </c>
      <c r="P120" s="8">
        <v>76.635234372089698</v>
      </c>
      <c r="Q120" s="8">
        <v>79.156583016728703</v>
      </c>
      <c r="R120" s="8">
        <v>84.820885972301213</v>
      </c>
      <c r="S120" s="20">
        <v>5.875</v>
      </c>
      <c r="T120" s="6">
        <v>270</v>
      </c>
      <c r="U120" s="20">
        <v>12</v>
      </c>
      <c r="V120" s="12">
        <v>0</v>
      </c>
    </row>
    <row r="121" spans="1:22" s="53" customFormat="1" x14ac:dyDescent="0.35">
      <c r="A121" s="2">
        <v>42763</v>
      </c>
      <c r="B121" s="3">
        <f t="shared" si="9"/>
        <v>2017</v>
      </c>
      <c r="C121" s="3">
        <f t="shared" si="10"/>
        <v>1</v>
      </c>
      <c r="D121" s="3">
        <f t="shared" si="11"/>
        <v>28</v>
      </c>
      <c r="E121" s="23">
        <v>24.6</v>
      </c>
      <c r="F121" s="23">
        <v>28.6</v>
      </c>
      <c r="G121" s="23">
        <v>27.7</v>
      </c>
      <c r="H121" s="13">
        <v>26.375000000000004</v>
      </c>
      <c r="I121" s="23">
        <v>30.1</v>
      </c>
      <c r="J121" s="23">
        <v>24.2</v>
      </c>
      <c r="K121" s="8">
        <v>1.3</v>
      </c>
      <c r="L121" s="8">
        <v>12.5</v>
      </c>
      <c r="M121" s="5"/>
      <c r="N121" s="13">
        <v>1008.2708333333334</v>
      </c>
      <c r="O121" s="8">
        <v>89.949097302255723</v>
      </c>
      <c r="P121" s="8">
        <v>77.739413556942338</v>
      </c>
      <c r="Q121" s="8">
        <v>80.926974820070001</v>
      </c>
      <c r="R121" s="8">
        <v>84.641145745380953</v>
      </c>
      <c r="S121" s="20">
        <v>6.208333333333333</v>
      </c>
      <c r="T121" s="6">
        <v>290</v>
      </c>
      <c r="U121" s="20">
        <v>10</v>
      </c>
      <c r="V121" s="12">
        <v>0</v>
      </c>
    </row>
    <row r="122" spans="1:22" s="53" customFormat="1" x14ac:dyDescent="0.35">
      <c r="A122" s="2">
        <v>42764</v>
      </c>
      <c r="B122" s="3">
        <f t="shared" si="9"/>
        <v>2017</v>
      </c>
      <c r="C122" s="3">
        <f t="shared" si="10"/>
        <v>1</v>
      </c>
      <c r="D122" s="3">
        <f t="shared" si="11"/>
        <v>29</v>
      </c>
      <c r="E122" s="23">
        <v>24.8</v>
      </c>
      <c r="F122" s="23">
        <v>28</v>
      </c>
      <c r="G122" s="23">
        <v>27.5</v>
      </c>
      <c r="H122" s="13">
        <v>26.274999999999999</v>
      </c>
      <c r="I122" s="23">
        <v>28.8</v>
      </c>
      <c r="J122" s="23">
        <v>24.6</v>
      </c>
      <c r="K122" s="8">
        <v>0</v>
      </c>
      <c r="L122" s="8">
        <v>0</v>
      </c>
      <c r="M122" s="5"/>
      <c r="N122" s="13">
        <v>1009.1666666666665</v>
      </c>
      <c r="O122" s="8">
        <v>89.992504846062502</v>
      </c>
      <c r="P122" s="8">
        <v>79.594509141558717</v>
      </c>
      <c r="Q122" s="8">
        <v>80.8369156292393</v>
      </c>
      <c r="R122" s="8">
        <v>85.104108615730752</v>
      </c>
      <c r="S122" s="20">
        <v>5</v>
      </c>
      <c r="T122" s="6">
        <v>270</v>
      </c>
      <c r="U122" s="20">
        <v>10</v>
      </c>
      <c r="V122" s="12">
        <v>0</v>
      </c>
    </row>
    <row r="123" spans="1:22" s="53" customFormat="1" x14ac:dyDescent="0.35">
      <c r="A123" s="2">
        <v>42765</v>
      </c>
      <c r="B123" s="3">
        <f t="shared" si="9"/>
        <v>2017</v>
      </c>
      <c r="C123" s="3">
        <f t="shared" si="10"/>
        <v>1</v>
      </c>
      <c r="D123" s="3">
        <f t="shared" si="11"/>
        <v>30</v>
      </c>
      <c r="E123" s="23">
        <v>24.6</v>
      </c>
      <c r="F123" s="23">
        <v>29.4</v>
      </c>
      <c r="G123" s="23">
        <v>29</v>
      </c>
      <c r="H123" s="13">
        <v>26.9</v>
      </c>
      <c r="I123" s="23">
        <v>30</v>
      </c>
      <c r="J123" s="23">
        <v>24.6</v>
      </c>
      <c r="K123" s="8" t="s">
        <v>9</v>
      </c>
      <c r="L123" s="8">
        <v>77.5</v>
      </c>
      <c r="M123" s="5"/>
      <c r="N123" s="13">
        <v>1008.8416666666667</v>
      </c>
      <c r="O123" s="8">
        <v>93.247120942466694</v>
      </c>
      <c r="P123" s="8">
        <v>75.360278033580656</v>
      </c>
      <c r="Q123" s="8">
        <v>76.54221383410507</v>
      </c>
      <c r="R123" s="8">
        <v>84.599183438154768</v>
      </c>
      <c r="S123" s="20">
        <v>6.4782608695652177</v>
      </c>
      <c r="T123" s="6">
        <v>280</v>
      </c>
      <c r="U123" s="20">
        <v>15</v>
      </c>
      <c r="V123" s="12">
        <v>0</v>
      </c>
    </row>
    <row r="124" spans="1:22" s="53" customFormat="1" x14ac:dyDescent="0.35">
      <c r="A124" s="2">
        <v>42766</v>
      </c>
      <c r="B124" s="3">
        <f t="shared" si="9"/>
        <v>2017</v>
      </c>
      <c r="C124" s="3">
        <f t="shared" si="10"/>
        <v>1</v>
      </c>
      <c r="D124" s="3">
        <f t="shared" si="11"/>
        <v>31</v>
      </c>
      <c r="E124" s="23">
        <v>25.2</v>
      </c>
      <c r="F124" s="23">
        <v>27.2</v>
      </c>
      <c r="G124" s="23">
        <v>25.8</v>
      </c>
      <c r="H124" s="13">
        <v>25.849999999999998</v>
      </c>
      <c r="I124" s="23">
        <v>30.2</v>
      </c>
      <c r="J124" s="23" t="e">
        <v>#REF!</v>
      </c>
      <c r="K124" s="8" t="s">
        <v>9</v>
      </c>
      <c r="L124" s="8">
        <v>0</v>
      </c>
      <c r="M124" s="5"/>
      <c r="N124" s="13">
        <v>811.11739130434785</v>
      </c>
      <c r="O124" s="8">
        <v>93.341799495798412</v>
      </c>
      <c r="P124" s="8">
        <v>88.98172042853777</v>
      </c>
      <c r="Q124" s="8">
        <v>91.821508886005248</v>
      </c>
      <c r="R124" s="8">
        <v>91.87170707653496</v>
      </c>
      <c r="S124" s="20">
        <v>3.9166666666666665</v>
      </c>
      <c r="T124" s="6">
        <v>250</v>
      </c>
      <c r="U124" s="20">
        <v>7</v>
      </c>
      <c r="V124" s="12">
        <v>0</v>
      </c>
    </row>
    <row r="125" spans="1:22" s="53" customFormat="1" x14ac:dyDescent="0.35">
      <c r="A125" s="2">
        <v>42767</v>
      </c>
      <c r="B125" s="3">
        <f t="shared" si="9"/>
        <v>2017</v>
      </c>
      <c r="C125" s="3">
        <f t="shared" si="10"/>
        <v>2</v>
      </c>
      <c r="D125" s="3">
        <f t="shared" si="11"/>
        <v>1</v>
      </c>
      <c r="E125" s="23">
        <v>25.2</v>
      </c>
      <c r="F125" s="23">
        <v>30.2</v>
      </c>
      <c r="G125" s="23">
        <v>26.4</v>
      </c>
      <c r="H125" s="56">
        <v>26.75</v>
      </c>
      <c r="I125" s="23">
        <v>30.4</v>
      </c>
      <c r="J125" s="23">
        <v>23.6</v>
      </c>
      <c r="K125" s="8">
        <v>15.2</v>
      </c>
      <c r="L125" s="8">
        <v>100</v>
      </c>
      <c r="M125" s="8"/>
      <c r="N125" s="13">
        <v>1009.6249999999999</v>
      </c>
      <c r="O125" s="8">
        <v>100</v>
      </c>
      <c r="P125" s="8">
        <v>71.788212616817901</v>
      </c>
      <c r="Q125" s="8">
        <v>90.351970277830759</v>
      </c>
      <c r="R125" s="8">
        <v>90.535045723662165</v>
      </c>
      <c r="S125" s="20">
        <v>6.7058823529411766</v>
      </c>
      <c r="T125" s="6">
        <v>260</v>
      </c>
      <c r="U125" s="80">
        <v>18</v>
      </c>
      <c r="V125" s="80">
        <v>0</v>
      </c>
    </row>
    <row r="126" spans="1:22" s="53" customFormat="1" x14ac:dyDescent="0.35">
      <c r="A126" s="2">
        <v>42768</v>
      </c>
      <c r="B126" s="3">
        <f t="shared" si="9"/>
        <v>2017</v>
      </c>
      <c r="C126" s="3">
        <f t="shared" si="10"/>
        <v>2</v>
      </c>
      <c r="D126" s="3">
        <f t="shared" si="11"/>
        <v>2</v>
      </c>
      <c r="E126" s="23">
        <v>23.8</v>
      </c>
      <c r="F126" s="23">
        <v>28.4</v>
      </c>
      <c r="G126" s="23">
        <v>27.2</v>
      </c>
      <c r="H126" s="13">
        <v>25.8</v>
      </c>
      <c r="I126" s="23">
        <v>28.6</v>
      </c>
      <c r="J126" s="23">
        <v>23</v>
      </c>
      <c r="K126" s="8">
        <v>6.8000000000000007</v>
      </c>
      <c r="L126" s="8">
        <v>6.25</v>
      </c>
      <c r="M126" s="8"/>
      <c r="N126" s="13">
        <v>1009.6124999999998</v>
      </c>
      <c r="O126" s="8">
        <v>91.424623457249439</v>
      </c>
      <c r="P126" s="8">
        <v>73</v>
      </c>
      <c r="Q126" s="8">
        <v>85.934017744245324</v>
      </c>
      <c r="R126" s="8">
        <v>85.44581616468605</v>
      </c>
      <c r="S126" s="20">
        <v>6.416666666666667</v>
      </c>
      <c r="T126" s="6">
        <v>250</v>
      </c>
      <c r="U126" s="80">
        <v>15</v>
      </c>
      <c r="V126" s="80">
        <v>0</v>
      </c>
    </row>
    <row r="127" spans="1:22" s="53" customFormat="1" x14ac:dyDescent="0.35">
      <c r="A127" s="2">
        <v>42769</v>
      </c>
      <c r="B127" s="3">
        <f t="shared" si="9"/>
        <v>2017</v>
      </c>
      <c r="C127" s="3">
        <f t="shared" si="10"/>
        <v>2</v>
      </c>
      <c r="D127" s="3">
        <f t="shared" si="11"/>
        <v>3</v>
      </c>
      <c r="E127" s="23">
        <v>24.6</v>
      </c>
      <c r="F127" s="23">
        <v>26.8</v>
      </c>
      <c r="G127" s="23">
        <v>25.4</v>
      </c>
      <c r="H127" s="13">
        <v>25.35</v>
      </c>
      <c r="I127" s="23">
        <v>29.6</v>
      </c>
      <c r="J127" s="23">
        <v>23.4</v>
      </c>
      <c r="K127" s="8">
        <v>18.600000000000001</v>
      </c>
      <c r="L127" s="8">
        <v>25</v>
      </c>
      <c r="M127" s="8"/>
      <c r="N127" s="13">
        <v>1008.1208333333331</v>
      </c>
      <c r="O127" s="8">
        <v>89.943857380328097</v>
      </c>
      <c r="P127" s="8">
        <v>85.809743712338303</v>
      </c>
      <c r="Q127" s="8">
        <v>96.663472596136444</v>
      </c>
      <c r="R127" s="8">
        <v>90.590232767282743</v>
      </c>
      <c r="S127" s="20">
        <v>7.75</v>
      </c>
      <c r="T127" s="6">
        <v>280</v>
      </c>
      <c r="U127" s="80">
        <v>19</v>
      </c>
      <c r="V127" s="80">
        <v>0</v>
      </c>
    </row>
    <row r="128" spans="1:22" s="53" customFormat="1" x14ac:dyDescent="0.35">
      <c r="A128" s="2">
        <v>42770</v>
      </c>
      <c r="B128" s="3">
        <f t="shared" si="9"/>
        <v>2017</v>
      </c>
      <c r="C128" s="3">
        <f t="shared" si="10"/>
        <v>2</v>
      </c>
      <c r="D128" s="3">
        <f t="shared" si="11"/>
        <v>4</v>
      </c>
      <c r="E128" s="23">
        <v>24.2</v>
      </c>
      <c r="F128" s="23">
        <v>30.8</v>
      </c>
      <c r="G128" s="23">
        <v>28.4</v>
      </c>
      <c r="H128" s="13">
        <v>26.9</v>
      </c>
      <c r="I128" s="23">
        <v>30.8</v>
      </c>
      <c r="J128" s="23">
        <v>24.2</v>
      </c>
      <c r="K128" s="8" t="s">
        <v>9</v>
      </c>
      <c r="L128" s="8">
        <v>60</v>
      </c>
      <c r="M128" s="8"/>
      <c r="N128" s="13">
        <v>1006.8125</v>
      </c>
      <c r="O128" s="8">
        <v>94.027095553358237</v>
      </c>
      <c r="P128" s="8">
        <v>70.85280630756894</v>
      </c>
      <c r="Q128" s="8">
        <v>69.392401118116609</v>
      </c>
      <c r="R128" s="8">
        <v>82.074849633100499</v>
      </c>
      <c r="S128" s="20">
        <v>7.041666666666667</v>
      </c>
      <c r="T128" s="6">
        <v>250</v>
      </c>
      <c r="U128" s="80">
        <v>16</v>
      </c>
      <c r="V128" s="80">
        <v>0</v>
      </c>
    </row>
    <row r="129" spans="1:22" s="53" customFormat="1" x14ac:dyDescent="0.35">
      <c r="A129" s="2">
        <v>42771</v>
      </c>
      <c r="B129" s="3">
        <f t="shared" si="9"/>
        <v>2017</v>
      </c>
      <c r="C129" s="3">
        <f t="shared" si="10"/>
        <v>2</v>
      </c>
      <c r="D129" s="3">
        <f t="shared" si="11"/>
        <v>5</v>
      </c>
      <c r="E129" s="23">
        <v>25.2</v>
      </c>
      <c r="F129" s="23">
        <v>30</v>
      </c>
      <c r="G129" s="23">
        <v>28.6</v>
      </c>
      <c r="H129" s="13">
        <v>27.25</v>
      </c>
      <c r="I129" s="23">
        <v>30.4</v>
      </c>
      <c r="J129" s="23">
        <v>23.4</v>
      </c>
      <c r="K129" s="8">
        <v>7.6</v>
      </c>
      <c r="L129" s="8">
        <v>70</v>
      </c>
      <c r="M129" s="8"/>
      <c r="N129" s="13">
        <v>1006.3750000000001</v>
      </c>
      <c r="O129" s="8">
        <v>90.089045917321215</v>
      </c>
      <c r="P129" s="8">
        <v>77.023497400589065</v>
      </c>
      <c r="Q129" s="8">
        <v>77.757682367245422</v>
      </c>
      <c r="R129" s="8">
        <v>83.739817900619229</v>
      </c>
      <c r="S129" s="20">
        <v>8.4583333333333339</v>
      </c>
      <c r="T129" s="6">
        <v>260</v>
      </c>
      <c r="U129" s="80">
        <v>20</v>
      </c>
      <c r="V129" s="80">
        <v>0</v>
      </c>
    </row>
    <row r="130" spans="1:22" s="53" customFormat="1" x14ac:dyDescent="0.35">
      <c r="A130" s="2">
        <v>42772</v>
      </c>
      <c r="B130" s="3">
        <f t="shared" si="9"/>
        <v>2017</v>
      </c>
      <c r="C130" s="3">
        <f t="shared" si="10"/>
        <v>2</v>
      </c>
      <c r="D130" s="3">
        <f t="shared" si="11"/>
        <v>6</v>
      </c>
      <c r="E130" s="23">
        <v>24.4</v>
      </c>
      <c r="F130" s="23">
        <v>29.8</v>
      </c>
      <c r="G130" s="23">
        <v>28.2</v>
      </c>
      <c r="H130" s="13">
        <v>26.7</v>
      </c>
      <c r="I130" s="23">
        <v>30.6</v>
      </c>
      <c r="J130" s="23">
        <v>24.4</v>
      </c>
      <c r="K130" s="8">
        <v>0</v>
      </c>
      <c r="L130" s="8">
        <v>96.25</v>
      </c>
      <c r="M130" s="8"/>
      <c r="N130" s="13">
        <v>1006.35</v>
      </c>
      <c r="O130" s="8">
        <v>94.897721608998467</v>
      </c>
      <c r="P130" s="8">
        <v>78.29930597772659</v>
      </c>
      <c r="Q130" s="8">
        <v>81.859794618622487</v>
      </c>
      <c r="R130" s="8">
        <v>87.48863595358651</v>
      </c>
      <c r="S130" s="20">
        <v>9.454545454545455</v>
      </c>
      <c r="T130" s="6">
        <v>260</v>
      </c>
      <c r="U130" s="80">
        <v>17</v>
      </c>
      <c r="V130" s="80">
        <v>0</v>
      </c>
    </row>
    <row r="131" spans="1:22" s="53" customFormat="1" x14ac:dyDescent="0.35">
      <c r="A131" s="2">
        <v>42773</v>
      </c>
      <c r="B131" s="3">
        <f t="shared" si="9"/>
        <v>2017</v>
      </c>
      <c r="C131" s="3">
        <f t="shared" si="10"/>
        <v>2</v>
      </c>
      <c r="D131" s="3">
        <f t="shared" si="11"/>
        <v>7</v>
      </c>
      <c r="E131" s="23">
        <v>27.5</v>
      </c>
      <c r="F131" s="23">
        <v>29.8</v>
      </c>
      <c r="G131" s="23">
        <v>26</v>
      </c>
      <c r="H131" s="13">
        <v>27.7</v>
      </c>
      <c r="I131" s="23">
        <v>30.4</v>
      </c>
      <c r="J131" s="23">
        <v>25.2</v>
      </c>
      <c r="K131" s="8">
        <v>5.5</v>
      </c>
      <c r="L131" s="8">
        <v>58.75</v>
      </c>
      <c r="M131" s="8"/>
      <c r="N131" s="13">
        <v>1006.9333333333333</v>
      </c>
      <c r="O131" s="8">
        <v>82.313064430852535</v>
      </c>
      <c r="P131" s="8">
        <v>71.576058078000955</v>
      </c>
      <c r="Q131" s="8">
        <v>85.565378907014562</v>
      </c>
      <c r="R131" s="8">
        <v>80.441891461680143</v>
      </c>
      <c r="S131" s="20">
        <v>13.625</v>
      </c>
      <c r="T131" s="6">
        <v>280</v>
      </c>
      <c r="U131" s="80">
        <v>23</v>
      </c>
      <c r="V131" s="80">
        <v>0</v>
      </c>
    </row>
    <row r="132" spans="1:22" s="53" customFormat="1" x14ac:dyDescent="0.35">
      <c r="A132" s="2">
        <v>42774</v>
      </c>
      <c r="B132" s="3">
        <f t="shared" si="9"/>
        <v>2017</v>
      </c>
      <c r="C132" s="3">
        <f t="shared" si="10"/>
        <v>2</v>
      </c>
      <c r="D132" s="3">
        <f t="shared" si="11"/>
        <v>8</v>
      </c>
      <c r="E132" s="23">
        <v>27.2</v>
      </c>
      <c r="F132" s="23">
        <v>26.9</v>
      </c>
      <c r="G132" s="23">
        <v>27.8</v>
      </c>
      <c r="H132" s="13">
        <v>27.274999999999999</v>
      </c>
      <c r="I132" s="23">
        <v>29</v>
      </c>
      <c r="J132" s="23">
        <v>24.1</v>
      </c>
      <c r="K132" s="8">
        <v>3.8000000000000007</v>
      </c>
      <c r="L132" s="8">
        <v>1.25</v>
      </c>
      <c r="M132" s="8"/>
      <c r="N132" s="13">
        <v>1007.3749999999999</v>
      </c>
      <c r="O132" s="8">
        <v>82.939181400476897</v>
      </c>
      <c r="P132" s="8">
        <v>85.08522537667757</v>
      </c>
      <c r="Q132" s="8">
        <v>82.432261454628474</v>
      </c>
      <c r="R132" s="8">
        <v>83.348962408064963</v>
      </c>
      <c r="S132" s="20">
        <v>11.083333333333334</v>
      </c>
      <c r="T132" s="6">
        <v>280</v>
      </c>
      <c r="U132" s="80">
        <v>20</v>
      </c>
      <c r="V132" s="80">
        <v>0</v>
      </c>
    </row>
    <row r="133" spans="1:22" s="53" customFormat="1" x14ac:dyDescent="0.35">
      <c r="A133" s="2">
        <v>42775</v>
      </c>
      <c r="B133" s="3">
        <f t="shared" si="9"/>
        <v>2017</v>
      </c>
      <c r="C133" s="3">
        <f t="shared" si="10"/>
        <v>2</v>
      </c>
      <c r="D133" s="3">
        <f t="shared" si="11"/>
        <v>9</v>
      </c>
      <c r="E133" s="23">
        <v>25.7</v>
      </c>
      <c r="F133" s="23">
        <v>26.8</v>
      </c>
      <c r="G133" s="23">
        <v>27.4</v>
      </c>
      <c r="H133" s="13">
        <v>26.4</v>
      </c>
      <c r="I133" s="23">
        <v>27.6</v>
      </c>
      <c r="J133" s="23">
        <v>24.6</v>
      </c>
      <c r="K133" s="8">
        <v>15.399999999999999</v>
      </c>
      <c r="L133" s="8">
        <v>2.5</v>
      </c>
      <c r="M133" s="8"/>
      <c r="N133" s="13">
        <v>1007.5416666666669</v>
      </c>
      <c r="O133" s="8">
        <v>90.202545181427922</v>
      </c>
      <c r="P133" s="8">
        <v>84.294499246522321</v>
      </c>
      <c r="Q133" s="8">
        <v>81.544269516751967</v>
      </c>
      <c r="R133" s="8">
        <v>86.560964781532533</v>
      </c>
      <c r="S133" s="20">
        <v>7.333333333333333</v>
      </c>
      <c r="T133" s="6">
        <v>280</v>
      </c>
      <c r="U133" s="80">
        <v>14</v>
      </c>
      <c r="V133" s="80">
        <v>0</v>
      </c>
    </row>
    <row r="134" spans="1:22" s="53" customFormat="1" x14ac:dyDescent="0.35">
      <c r="A134" s="2">
        <v>42776</v>
      </c>
      <c r="B134" s="3">
        <f t="shared" si="9"/>
        <v>2017</v>
      </c>
      <c r="C134" s="3">
        <f t="shared" si="10"/>
        <v>2</v>
      </c>
      <c r="D134" s="3">
        <f t="shared" si="11"/>
        <v>10</v>
      </c>
      <c r="E134" s="23">
        <v>25.4</v>
      </c>
      <c r="F134" s="23">
        <v>28.4</v>
      </c>
      <c r="G134" s="23">
        <v>27.1</v>
      </c>
      <c r="H134" s="13">
        <v>26.574999999999996</v>
      </c>
      <c r="I134" s="23">
        <v>29.4</v>
      </c>
      <c r="J134" s="23">
        <v>25</v>
      </c>
      <c r="K134" s="8">
        <v>0.2</v>
      </c>
      <c r="L134" s="8">
        <v>6.25</v>
      </c>
      <c r="M134" s="8"/>
      <c r="N134" s="13">
        <v>1008.2791666666666</v>
      </c>
      <c r="O134" s="8">
        <v>89.328867452555826</v>
      </c>
      <c r="P134" s="8">
        <v>76.243765997777487</v>
      </c>
      <c r="Q134" s="8">
        <v>85.91047487544688</v>
      </c>
      <c r="R134" s="8">
        <v>85.202993944584009</v>
      </c>
      <c r="S134" s="20">
        <v>7.9565217391304346</v>
      </c>
      <c r="T134" s="6">
        <v>270</v>
      </c>
      <c r="U134" s="80">
        <v>15</v>
      </c>
      <c r="V134" s="80">
        <v>0</v>
      </c>
    </row>
    <row r="135" spans="1:22" s="53" customFormat="1" x14ac:dyDescent="0.35">
      <c r="A135" s="2">
        <v>42777</v>
      </c>
      <c r="B135" s="3">
        <f t="shared" si="9"/>
        <v>2017</v>
      </c>
      <c r="C135" s="3">
        <f t="shared" si="10"/>
        <v>2</v>
      </c>
      <c r="D135" s="3">
        <f t="shared" si="11"/>
        <v>11</v>
      </c>
      <c r="E135" s="23">
        <v>25.2</v>
      </c>
      <c r="F135" s="23">
        <v>25.8</v>
      </c>
      <c r="G135" s="23">
        <v>27</v>
      </c>
      <c r="H135" s="13">
        <v>25.8</v>
      </c>
      <c r="I135" s="23">
        <v>28.6</v>
      </c>
      <c r="J135" s="23">
        <v>23.9</v>
      </c>
      <c r="K135" s="8">
        <v>0</v>
      </c>
      <c r="L135" s="8">
        <v>8.75</v>
      </c>
      <c r="M135" s="8"/>
      <c r="N135" s="13">
        <v>1010.7291666666666</v>
      </c>
      <c r="O135" s="8">
        <v>93.339420283282408</v>
      </c>
      <c r="P135" s="8">
        <v>86.259960468051915</v>
      </c>
      <c r="Q135" s="8">
        <v>79.87919190695149</v>
      </c>
      <c r="R135" s="8">
        <v>88.204498235392066</v>
      </c>
      <c r="S135" s="20">
        <v>7.75</v>
      </c>
      <c r="T135" s="6">
        <v>290</v>
      </c>
      <c r="U135" s="80">
        <v>19</v>
      </c>
      <c r="V135" s="80">
        <v>0</v>
      </c>
    </row>
    <row r="136" spans="1:22" s="53" customFormat="1" x14ac:dyDescent="0.35">
      <c r="A136" s="2">
        <v>42778</v>
      </c>
      <c r="B136" s="3">
        <f t="shared" si="9"/>
        <v>2017</v>
      </c>
      <c r="C136" s="3">
        <f t="shared" si="10"/>
        <v>2</v>
      </c>
      <c r="D136" s="3">
        <f t="shared" si="11"/>
        <v>12</v>
      </c>
      <c r="E136" s="23">
        <v>24.2</v>
      </c>
      <c r="F136" s="23">
        <v>27.4</v>
      </c>
      <c r="G136" s="23">
        <v>28</v>
      </c>
      <c r="H136" s="13">
        <v>25.95</v>
      </c>
      <c r="I136" s="23">
        <v>29.4</v>
      </c>
      <c r="J136" s="23">
        <v>23.8</v>
      </c>
      <c r="K136" s="8">
        <v>2.4</v>
      </c>
      <c r="L136" s="8">
        <v>36.25</v>
      </c>
      <c r="M136" s="8"/>
      <c r="N136" s="13">
        <v>1386.7958333333333</v>
      </c>
      <c r="O136" s="8">
        <v>97.418502807549899</v>
      </c>
      <c r="P136" s="8">
        <v>77.866046164027992</v>
      </c>
      <c r="Q136" s="8">
        <v>78.15103369894085</v>
      </c>
      <c r="R136" s="8">
        <v>87.713521369517167</v>
      </c>
      <c r="S136" s="20">
        <v>6.117647058823529</v>
      </c>
      <c r="T136" s="6">
        <v>270</v>
      </c>
      <c r="U136" s="80">
        <v>12</v>
      </c>
      <c r="V136" s="80">
        <v>0</v>
      </c>
    </row>
    <row r="137" spans="1:22" s="53" customFormat="1" x14ac:dyDescent="0.35">
      <c r="A137" s="2">
        <v>42779</v>
      </c>
      <c r="B137" s="3">
        <f t="shared" si="9"/>
        <v>2017</v>
      </c>
      <c r="C137" s="3">
        <f t="shared" si="10"/>
        <v>2</v>
      </c>
      <c r="D137" s="3">
        <f t="shared" si="11"/>
        <v>13</v>
      </c>
      <c r="E137" s="23">
        <v>24.5</v>
      </c>
      <c r="F137" s="23">
        <v>30</v>
      </c>
      <c r="G137" s="23">
        <v>26</v>
      </c>
      <c r="H137" s="13">
        <v>26.25</v>
      </c>
      <c r="I137" s="23">
        <v>30.4</v>
      </c>
      <c r="J137" s="23">
        <v>23.6</v>
      </c>
      <c r="K137" s="8">
        <v>16.100000000000001</v>
      </c>
      <c r="L137" s="8">
        <v>60</v>
      </c>
      <c r="M137" s="8"/>
      <c r="N137" s="13">
        <v>1012.0124999999999</v>
      </c>
      <c r="O137" s="8">
        <v>94.061924943091</v>
      </c>
      <c r="P137" s="8">
        <v>72.976159181404441</v>
      </c>
      <c r="Q137" s="8">
        <v>93.458605539671154</v>
      </c>
      <c r="R137" s="8">
        <v>88.639653651814399</v>
      </c>
      <c r="S137" s="20">
        <v>5.1052631578947372</v>
      </c>
      <c r="T137" s="6">
        <v>250</v>
      </c>
      <c r="U137" s="80">
        <v>12</v>
      </c>
      <c r="V137" s="80">
        <v>0</v>
      </c>
    </row>
    <row r="138" spans="1:22" s="53" customFormat="1" x14ac:dyDescent="0.35">
      <c r="A138" s="2">
        <v>42780</v>
      </c>
      <c r="B138" s="3">
        <f t="shared" si="9"/>
        <v>2017</v>
      </c>
      <c r="C138" s="3">
        <f t="shared" si="10"/>
        <v>2</v>
      </c>
      <c r="D138" s="3">
        <f t="shared" si="11"/>
        <v>14</v>
      </c>
      <c r="E138" s="23">
        <v>23.6</v>
      </c>
      <c r="F138" s="23">
        <v>29.8</v>
      </c>
      <c r="G138" s="23">
        <v>27.6</v>
      </c>
      <c r="H138" s="13">
        <v>26.15</v>
      </c>
      <c r="I138" s="23">
        <v>30.6</v>
      </c>
      <c r="J138" s="23">
        <v>23.6</v>
      </c>
      <c r="K138" s="8">
        <v>0.4</v>
      </c>
      <c r="L138" s="8">
        <v>61.250000000000007</v>
      </c>
      <c r="M138" s="8"/>
      <c r="N138" s="13">
        <v>1012.1458333333331</v>
      </c>
      <c r="O138" s="8">
        <v>96.513611264549411</v>
      </c>
      <c r="P138" s="8">
        <v>70.220889472120675</v>
      </c>
      <c r="Q138" s="8">
        <v>86.048316662279873</v>
      </c>
      <c r="R138" s="8">
        <v>87.32410716587485</v>
      </c>
      <c r="S138" s="20">
        <v>4.95</v>
      </c>
      <c r="T138" s="6">
        <v>90</v>
      </c>
      <c r="U138" s="80">
        <v>11</v>
      </c>
      <c r="V138" s="80">
        <v>0</v>
      </c>
    </row>
    <row r="139" spans="1:22" s="53" customFormat="1" x14ac:dyDescent="0.35">
      <c r="A139" s="2">
        <v>42781</v>
      </c>
      <c r="B139" s="3">
        <f t="shared" si="9"/>
        <v>2017</v>
      </c>
      <c r="C139" s="3">
        <f t="shared" si="10"/>
        <v>2</v>
      </c>
      <c r="D139" s="3">
        <f t="shared" si="11"/>
        <v>15</v>
      </c>
      <c r="E139" s="23">
        <v>24.2</v>
      </c>
      <c r="F139" s="23">
        <v>30.8</v>
      </c>
      <c r="G139" s="23">
        <v>27.9</v>
      </c>
      <c r="H139" s="13">
        <v>26.774999999999999</v>
      </c>
      <c r="I139" s="23">
        <v>31.2</v>
      </c>
      <c r="J139" s="23">
        <v>23.2</v>
      </c>
      <c r="K139" s="8">
        <v>17.899999999999999</v>
      </c>
      <c r="L139" s="8">
        <v>93.75</v>
      </c>
      <c r="M139" s="8"/>
      <c r="N139" s="13">
        <v>1011.6375000000002</v>
      </c>
      <c r="O139" s="8">
        <v>93.176611316789206</v>
      </c>
      <c r="P139" s="8">
        <v>69.538124403187553</v>
      </c>
      <c r="Q139" s="8">
        <v>83.915864387250025</v>
      </c>
      <c r="R139" s="8">
        <v>84.951802856004008</v>
      </c>
      <c r="S139" s="20">
        <v>9.1666666666666661</v>
      </c>
      <c r="T139" s="6">
        <v>210</v>
      </c>
      <c r="U139" s="80">
        <v>99</v>
      </c>
      <c r="V139" s="80">
        <v>0</v>
      </c>
    </row>
    <row r="140" spans="1:22" s="53" customFormat="1" x14ac:dyDescent="0.35">
      <c r="A140" s="2">
        <v>42782</v>
      </c>
      <c r="B140" s="3">
        <f t="shared" si="9"/>
        <v>2017</v>
      </c>
      <c r="C140" s="3">
        <f t="shared" si="10"/>
        <v>2</v>
      </c>
      <c r="D140" s="3">
        <f t="shared" si="11"/>
        <v>16</v>
      </c>
      <c r="E140" s="23">
        <v>23.6</v>
      </c>
      <c r="F140" s="23">
        <v>30.2</v>
      </c>
      <c r="G140" s="23">
        <v>28</v>
      </c>
      <c r="H140" s="13">
        <v>26.35</v>
      </c>
      <c r="I140" s="23">
        <v>30.8</v>
      </c>
      <c r="J140" s="23">
        <v>23.6</v>
      </c>
      <c r="K140" s="8" t="s">
        <v>9</v>
      </c>
      <c r="L140" s="8">
        <v>37.5</v>
      </c>
      <c r="M140" s="8"/>
      <c r="N140" s="13">
        <v>1011.0625000000001</v>
      </c>
      <c r="O140" s="8">
        <v>94.79075302819848</v>
      </c>
      <c r="P140" s="8">
        <v>66.618310235777074</v>
      </c>
      <c r="Q140" s="8">
        <v>80.314695525684073</v>
      </c>
      <c r="R140" s="8">
        <v>84.12862795446452</v>
      </c>
      <c r="S140" s="20">
        <v>4.6818181818181817</v>
      </c>
      <c r="T140" s="6">
        <v>220</v>
      </c>
      <c r="U140" s="80">
        <v>9</v>
      </c>
      <c r="V140" s="80">
        <v>0</v>
      </c>
    </row>
    <row r="141" spans="1:22" s="53" customFormat="1" x14ac:dyDescent="0.35">
      <c r="A141" s="2">
        <v>42783</v>
      </c>
      <c r="B141" s="3">
        <f t="shared" si="9"/>
        <v>2017</v>
      </c>
      <c r="C141" s="3">
        <f t="shared" si="10"/>
        <v>2</v>
      </c>
      <c r="D141" s="3">
        <f t="shared" si="11"/>
        <v>17</v>
      </c>
      <c r="E141" s="23">
        <v>24.6</v>
      </c>
      <c r="F141" s="23">
        <v>30</v>
      </c>
      <c r="G141" s="23">
        <v>28.6</v>
      </c>
      <c r="H141" s="13">
        <v>26.950000000000003</v>
      </c>
      <c r="I141" s="23">
        <v>30.8</v>
      </c>
      <c r="J141" s="23">
        <v>24.4</v>
      </c>
      <c r="K141" s="8">
        <v>1</v>
      </c>
      <c r="L141" s="8">
        <v>85</v>
      </c>
      <c r="M141" s="8"/>
      <c r="N141" s="13">
        <v>1011.2541666666667</v>
      </c>
      <c r="O141" s="8">
        <v>91.584342768178089</v>
      </c>
      <c r="P141" s="8">
        <v>70.347891346570762</v>
      </c>
      <c r="Q141" s="8">
        <v>80.558100347804924</v>
      </c>
      <c r="R141" s="8">
        <v>83.518669307682956</v>
      </c>
      <c r="S141" s="20">
        <v>4.2608695652173916</v>
      </c>
      <c r="T141" s="6">
        <v>220</v>
      </c>
      <c r="U141" s="80">
        <v>9</v>
      </c>
      <c r="V141" s="80">
        <v>0</v>
      </c>
    </row>
    <row r="142" spans="1:22" s="53" customFormat="1" x14ac:dyDescent="0.35">
      <c r="A142" s="2">
        <v>42784</v>
      </c>
      <c r="B142" s="3">
        <f t="shared" si="9"/>
        <v>2017</v>
      </c>
      <c r="C142" s="3">
        <f t="shared" si="10"/>
        <v>2</v>
      </c>
      <c r="D142" s="3">
        <f t="shared" si="11"/>
        <v>18</v>
      </c>
      <c r="E142" s="23">
        <v>24.7</v>
      </c>
      <c r="F142" s="23">
        <v>27.4</v>
      </c>
      <c r="G142" s="23">
        <v>27</v>
      </c>
      <c r="H142" s="13">
        <v>25.95</v>
      </c>
      <c r="I142" s="23">
        <v>29</v>
      </c>
      <c r="J142" s="23">
        <v>24</v>
      </c>
      <c r="K142" s="8">
        <v>2.6</v>
      </c>
      <c r="L142" s="8">
        <v>13.750000000000002</v>
      </c>
      <c r="M142" s="8"/>
      <c r="N142" s="13">
        <v>1011.2999999999998</v>
      </c>
      <c r="O142" s="8">
        <v>94.925264168769516</v>
      </c>
      <c r="P142" s="8">
        <v>77.857839762408801</v>
      </c>
      <c r="Q142" s="8">
        <v>82.852578319073018</v>
      </c>
      <c r="R142" s="8">
        <v>87.640236604755216</v>
      </c>
      <c r="S142" s="20">
        <v>3.3888888888888888</v>
      </c>
      <c r="T142" s="6">
        <v>290</v>
      </c>
      <c r="U142" s="80">
        <v>6</v>
      </c>
      <c r="V142" s="80">
        <v>0</v>
      </c>
    </row>
    <row r="143" spans="1:22" s="53" customFormat="1" x14ac:dyDescent="0.35">
      <c r="A143" s="2">
        <v>42785</v>
      </c>
      <c r="B143" s="3">
        <f t="shared" si="9"/>
        <v>2017</v>
      </c>
      <c r="C143" s="3">
        <f t="shared" si="10"/>
        <v>2</v>
      </c>
      <c r="D143" s="3">
        <f t="shared" si="11"/>
        <v>19</v>
      </c>
      <c r="E143" s="23">
        <v>24.2</v>
      </c>
      <c r="F143" s="23">
        <v>30</v>
      </c>
      <c r="G143" s="23">
        <v>28.8</v>
      </c>
      <c r="H143" s="13">
        <v>26.8</v>
      </c>
      <c r="I143" s="23">
        <v>31</v>
      </c>
      <c r="J143" s="23">
        <v>24.2</v>
      </c>
      <c r="K143" s="8">
        <v>0</v>
      </c>
      <c r="L143" s="8">
        <v>87.5</v>
      </c>
      <c r="M143" s="8"/>
      <c r="N143" s="13">
        <v>1009.7666666666665</v>
      </c>
      <c r="O143" s="8">
        <v>96.565258023295456</v>
      </c>
      <c r="P143" s="8">
        <v>74.315075567687614</v>
      </c>
      <c r="Q143" s="8">
        <v>77.832946579640776</v>
      </c>
      <c r="R143" s="8">
        <v>86.319634548479826</v>
      </c>
      <c r="S143" s="20">
        <v>5.0555555555555554</v>
      </c>
      <c r="T143" s="6">
        <v>290</v>
      </c>
      <c r="U143" s="80">
        <v>10</v>
      </c>
      <c r="V143" s="80">
        <v>0</v>
      </c>
    </row>
    <row r="144" spans="1:22" s="53" customFormat="1" x14ac:dyDescent="0.35">
      <c r="A144" s="2">
        <v>42786</v>
      </c>
      <c r="B144" s="3">
        <f t="shared" si="9"/>
        <v>2017</v>
      </c>
      <c r="C144" s="3">
        <f t="shared" si="10"/>
        <v>2</v>
      </c>
      <c r="D144" s="3">
        <f t="shared" si="11"/>
        <v>20</v>
      </c>
      <c r="E144" s="23">
        <v>25.5</v>
      </c>
      <c r="F144" s="23">
        <v>29</v>
      </c>
      <c r="G144" s="23">
        <v>29</v>
      </c>
      <c r="H144" s="13">
        <v>27.25</v>
      </c>
      <c r="I144" s="23">
        <v>30.8</v>
      </c>
      <c r="J144" s="23">
        <v>24.2</v>
      </c>
      <c r="K144" s="8">
        <v>49.5</v>
      </c>
      <c r="L144" s="8">
        <v>43.75</v>
      </c>
      <c r="M144" s="8"/>
      <c r="N144" s="13">
        <v>1009.3833333333333</v>
      </c>
      <c r="O144" s="8">
        <v>95.843617773194723</v>
      </c>
      <c r="P144" s="8">
        <v>77.92014815829296</v>
      </c>
      <c r="Q144" s="8">
        <v>80.734340625942849</v>
      </c>
      <c r="R144" s="8">
        <v>87.585431082656328</v>
      </c>
      <c r="S144" s="20">
        <v>4.3</v>
      </c>
      <c r="T144" s="6">
        <v>290</v>
      </c>
      <c r="U144" s="80">
        <v>9</v>
      </c>
      <c r="V144" s="80">
        <v>0</v>
      </c>
    </row>
    <row r="145" spans="1:22" s="53" customFormat="1" x14ac:dyDescent="0.35">
      <c r="A145" s="2">
        <v>42787</v>
      </c>
      <c r="B145" s="3">
        <f t="shared" si="9"/>
        <v>2017</v>
      </c>
      <c r="C145" s="3">
        <f t="shared" si="10"/>
        <v>2</v>
      </c>
      <c r="D145" s="3">
        <f t="shared" si="11"/>
        <v>21</v>
      </c>
      <c r="E145" s="23">
        <v>24.4</v>
      </c>
      <c r="F145" s="23">
        <v>30.6</v>
      </c>
      <c r="G145" s="23">
        <v>27.8</v>
      </c>
      <c r="H145" s="13">
        <v>26.8</v>
      </c>
      <c r="I145" s="23">
        <v>30.8</v>
      </c>
      <c r="J145" s="23">
        <v>24.2</v>
      </c>
      <c r="K145" s="8" t="s">
        <v>9</v>
      </c>
      <c r="L145" s="8">
        <v>98.75</v>
      </c>
      <c r="M145" s="8"/>
      <c r="N145" s="13">
        <v>1010.9666666666666</v>
      </c>
      <c r="O145" s="8">
        <v>98.284970109754752</v>
      </c>
      <c r="P145" s="8">
        <v>69.422698900427662</v>
      </c>
      <c r="Q145" s="8">
        <v>84.619766338398634</v>
      </c>
      <c r="R145" s="8">
        <v>87.653101364583947</v>
      </c>
      <c r="S145" s="20">
        <v>4.5333333333333332</v>
      </c>
      <c r="T145" s="6">
        <v>190</v>
      </c>
      <c r="U145" s="80">
        <v>11</v>
      </c>
      <c r="V145" s="80">
        <v>0</v>
      </c>
    </row>
    <row r="146" spans="1:22" s="53" customFormat="1" x14ac:dyDescent="0.35">
      <c r="A146" s="2">
        <v>42788</v>
      </c>
      <c r="B146" s="3">
        <f t="shared" si="9"/>
        <v>2017</v>
      </c>
      <c r="C146" s="3">
        <f t="shared" si="10"/>
        <v>2</v>
      </c>
      <c r="D146" s="3">
        <f t="shared" si="11"/>
        <v>22</v>
      </c>
      <c r="E146" s="23">
        <v>24.2</v>
      </c>
      <c r="F146" s="23">
        <v>29.8</v>
      </c>
      <c r="G146" s="23">
        <v>26.8</v>
      </c>
      <c r="H146" s="13">
        <v>26.25</v>
      </c>
      <c r="I146" s="23">
        <v>30</v>
      </c>
      <c r="J146" s="23">
        <v>24</v>
      </c>
      <c r="K146" s="8" t="s">
        <v>9</v>
      </c>
      <c r="L146" s="8">
        <v>32.5</v>
      </c>
      <c r="M146" s="8"/>
      <c r="N146" s="13">
        <v>1010.9583333333331</v>
      </c>
      <c r="O146" s="8">
        <v>96.564731861463812</v>
      </c>
      <c r="P146" s="8">
        <v>72.868587960739461</v>
      </c>
      <c r="Q146" s="8">
        <v>81.275351657404869</v>
      </c>
      <c r="R146" s="8">
        <v>86.818350835267992</v>
      </c>
      <c r="S146" s="20">
        <v>3.2352941176470589</v>
      </c>
      <c r="T146" s="6">
        <v>280</v>
      </c>
      <c r="U146" s="80">
        <v>7</v>
      </c>
      <c r="V146" s="80">
        <v>0</v>
      </c>
    </row>
    <row r="147" spans="1:22" s="53" customFormat="1" x14ac:dyDescent="0.35">
      <c r="A147" s="2">
        <v>42789</v>
      </c>
      <c r="B147" s="3">
        <f t="shared" si="9"/>
        <v>2017</v>
      </c>
      <c r="C147" s="3">
        <f t="shared" si="10"/>
        <v>2</v>
      </c>
      <c r="D147" s="3">
        <f t="shared" si="11"/>
        <v>23</v>
      </c>
      <c r="E147" s="23">
        <v>25</v>
      </c>
      <c r="F147" s="23">
        <v>30</v>
      </c>
      <c r="G147" s="23">
        <v>29.2</v>
      </c>
      <c r="H147" s="13">
        <v>27.3</v>
      </c>
      <c r="I147" s="23">
        <v>30.6</v>
      </c>
      <c r="J147" s="23">
        <v>22.6</v>
      </c>
      <c r="K147" s="8">
        <v>30</v>
      </c>
      <c r="L147" s="8">
        <v>100</v>
      </c>
      <c r="M147" s="8"/>
      <c r="N147" s="13">
        <v>1010.4416666666666</v>
      </c>
      <c r="O147" s="8">
        <v>94.961244204654008</v>
      </c>
      <c r="P147" s="8">
        <v>71.669895536047562</v>
      </c>
      <c r="Q147" s="8">
        <v>80.809489628794779</v>
      </c>
      <c r="R147" s="8">
        <v>85.600468393537582</v>
      </c>
      <c r="S147" s="20">
        <v>4.75</v>
      </c>
      <c r="T147" s="6">
        <v>40</v>
      </c>
      <c r="U147" s="80">
        <v>8</v>
      </c>
      <c r="V147" s="80">
        <v>0</v>
      </c>
    </row>
    <row r="148" spans="1:22" s="53" customFormat="1" x14ac:dyDescent="0.35">
      <c r="A148" s="2">
        <v>42790</v>
      </c>
      <c r="B148" s="3">
        <f t="shared" si="9"/>
        <v>2017</v>
      </c>
      <c r="C148" s="3">
        <f t="shared" si="10"/>
        <v>2</v>
      </c>
      <c r="D148" s="3">
        <f t="shared" si="11"/>
        <v>24</v>
      </c>
      <c r="E148" s="23">
        <v>24.4</v>
      </c>
      <c r="F148" s="23">
        <v>30</v>
      </c>
      <c r="G148" s="23">
        <v>29</v>
      </c>
      <c r="H148" s="13">
        <v>26.95</v>
      </c>
      <c r="I148" s="23">
        <v>30.2</v>
      </c>
      <c r="J148" s="23">
        <v>24</v>
      </c>
      <c r="K148" s="8">
        <v>4.5999999999999996</v>
      </c>
      <c r="L148" s="8">
        <v>72.5</v>
      </c>
      <c r="M148" s="8"/>
      <c r="N148" s="13">
        <v>1010.3375000000001</v>
      </c>
      <c r="O148" s="8">
        <v>96.580763586725453</v>
      </c>
      <c r="P148" s="8">
        <v>74.310356983567416</v>
      </c>
      <c r="Q148" s="8">
        <v>73.795712933442388</v>
      </c>
      <c r="R148" s="8">
        <v>85.316899272615188</v>
      </c>
      <c r="S148" s="20">
        <v>4</v>
      </c>
      <c r="T148" s="6">
        <v>310</v>
      </c>
      <c r="U148" s="80">
        <v>8</v>
      </c>
      <c r="V148" s="80">
        <v>0</v>
      </c>
    </row>
    <row r="149" spans="1:22" s="53" customFormat="1" x14ac:dyDescent="0.35">
      <c r="A149" s="2">
        <v>42791</v>
      </c>
      <c r="B149" s="3">
        <f t="shared" si="9"/>
        <v>2017</v>
      </c>
      <c r="C149" s="3">
        <f t="shared" si="10"/>
        <v>2</v>
      </c>
      <c r="D149" s="3">
        <f t="shared" si="11"/>
        <v>25</v>
      </c>
      <c r="E149" s="23">
        <v>25</v>
      </c>
      <c r="F149" s="23">
        <v>29</v>
      </c>
      <c r="G149" s="23">
        <v>27.4</v>
      </c>
      <c r="H149" s="13">
        <v>26.6</v>
      </c>
      <c r="I149" s="23">
        <v>30.6</v>
      </c>
      <c r="J149" s="23">
        <v>24.2</v>
      </c>
      <c r="K149" s="8">
        <v>6.6</v>
      </c>
      <c r="L149" s="8">
        <v>25</v>
      </c>
      <c r="M149" s="8"/>
      <c r="N149" s="13">
        <v>1009.9750000000003</v>
      </c>
      <c r="O149" s="8">
        <v>94.962749018942347</v>
      </c>
      <c r="P149" s="8">
        <v>77.913007858030852</v>
      </c>
      <c r="Q149" s="8">
        <v>81.525462272722848</v>
      </c>
      <c r="R149" s="8">
        <v>87.340992042159598</v>
      </c>
      <c r="S149" s="20">
        <v>4.6190476190476186</v>
      </c>
      <c r="T149" s="6">
        <v>180</v>
      </c>
      <c r="U149" s="80">
        <v>12</v>
      </c>
      <c r="V149" s="80">
        <v>0</v>
      </c>
    </row>
    <row r="150" spans="1:22" s="53" customFormat="1" x14ac:dyDescent="0.35">
      <c r="A150" s="2">
        <v>42792</v>
      </c>
      <c r="B150" s="3">
        <f t="shared" si="9"/>
        <v>2017</v>
      </c>
      <c r="C150" s="3">
        <f t="shared" si="10"/>
        <v>2</v>
      </c>
      <c r="D150" s="3">
        <f t="shared" si="11"/>
        <v>26</v>
      </c>
      <c r="E150" s="23">
        <v>24.2</v>
      </c>
      <c r="F150" s="23">
        <v>29.6</v>
      </c>
      <c r="G150" s="23">
        <v>29.2</v>
      </c>
      <c r="H150" s="13">
        <v>26.8</v>
      </c>
      <c r="I150" s="23">
        <v>30.4</v>
      </c>
      <c r="J150" s="23">
        <v>24.2</v>
      </c>
      <c r="K150" s="8" t="s">
        <v>9</v>
      </c>
      <c r="L150" s="8">
        <v>87.5</v>
      </c>
      <c r="M150" s="8"/>
      <c r="N150" s="13">
        <v>1008.720833333333</v>
      </c>
      <c r="O150" s="8">
        <v>94.869567964201423</v>
      </c>
      <c r="P150" s="8">
        <v>71.443198644034723</v>
      </c>
      <c r="Q150" s="8">
        <v>76.639626211169414</v>
      </c>
      <c r="R150" s="8">
        <v>84.455490195901746</v>
      </c>
      <c r="S150" s="20">
        <v>5.05</v>
      </c>
      <c r="T150" s="6">
        <v>20</v>
      </c>
      <c r="U150" s="80">
        <v>11</v>
      </c>
      <c r="V150" s="80">
        <v>0</v>
      </c>
    </row>
    <row r="151" spans="1:22" s="53" customFormat="1" x14ac:dyDescent="0.35">
      <c r="A151" s="2">
        <v>42793</v>
      </c>
      <c r="B151" s="3">
        <f t="shared" si="9"/>
        <v>2017</v>
      </c>
      <c r="C151" s="3">
        <f t="shared" si="10"/>
        <v>2</v>
      </c>
      <c r="D151" s="3">
        <f t="shared" si="11"/>
        <v>27</v>
      </c>
      <c r="E151" s="23">
        <v>25</v>
      </c>
      <c r="F151" s="23">
        <v>30.2</v>
      </c>
      <c r="G151" s="23">
        <v>29</v>
      </c>
      <c r="H151" s="13">
        <v>27.3</v>
      </c>
      <c r="I151" s="23">
        <v>30.6</v>
      </c>
      <c r="J151" s="23">
        <v>23.8</v>
      </c>
      <c r="K151" s="8">
        <v>33.6</v>
      </c>
      <c r="L151" s="8">
        <v>87.5</v>
      </c>
      <c r="M151" s="8"/>
      <c r="N151" s="13">
        <v>1009.125</v>
      </c>
      <c r="O151" s="8">
        <v>94.965006240374876</v>
      </c>
      <c r="P151" s="8">
        <v>70.485174604930393</v>
      </c>
      <c r="Q151" s="8">
        <v>76.543483220818331</v>
      </c>
      <c r="R151" s="8">
        <v>84.239667576624612</v>
      </c>
      <c r="S151" s="20">
        <v>4.0476190476190474</v>
      </c>
      <c r="T151" s="6">
        <v>340</v>
      </c>
      <c r="U151" s="80">
        <v>11</v>
      </c>
      <c r="V151" s="80">
        <v>0</v>
      </c>
    </row>
    <row r="152" spans="1:22" s="53" customFormat="1" x14ac:dyDescent="0.35">
      <c r="A152" s="2">
        <v>42794</v>
      </c>
      <c r="B152" s="3">
        <f t="shared" ref="B152:B215" si="12">YEAR(A152)</f>
        <v>2017</v>
      </c>
      <c r="C152" s="3">
        <f t="shared" ref="C152:C215" si="13">MONTH(A152)</f>
        <v>2</v>
      </c>
      <c r="D152" s="3">
        <f t="shared" ref="D152:D215" si="14">DAY(A152)</f>
        <v>28</v>
      </c>
      <c r="E152" s="23">
        <v>24.4</v>
      </c>
      <c r="F152" s="23">
        <v>30</v>
      </c>
      <c r="G152" s="23">
        <v>29</v>
      </c>
      <c r="H152" s="13">
        <v>26.95</v>
      </c>
      <c r="I152" s="23">
        <v>30.6</v>
      </c>
      <c r="J152" s="23">
        <v>24.4</v>
      </c>
      <c r="K152" s="8" t="s">
        <v>9</v>
      </c>
      <c r="L152" s="8">
        <v>12.5</v>
      </c>
      <c r="M152" s="8"/>
      <c r="N152" s="13">
        <v>1008.6958333333333</v>
      </c>
      <c r="O152" s="8">
        <v>98.285282048464154</v>
      </c>
      <c r="P152" s="8">
        <v>75.66085192909236</v>
      </c>
      <c r="Q152" s="8">
        <v>77.933238708773473</v>
      </c>
      <c r="R152" s="8">
        <v>87.541163683698528</v>
      </c>
      <c r="S152" s="20">
        <v>4.3157894736842106</v>
      </c>
      <c r="T152" s="6">
        <v>220</v>
      </c>
      <c r="U152" s="80">
        <v>10</v>
      </c>
      <c r="V152" s="80">
        <v>0</v>
      </c>
    </row>
    <row r="153" spans="1:22" s="53" customFormat="1" x14ac:dyDescent="0.35">
      <c r="A153" s="2">
        <v>42795</v>
      </c>
      <c r="B153" s="3">
        <f t="shared" si="12"/>
        <v>2017</v>
      </c>
      <c r="C153" s="3">
        <f t="shared" si="13"/>
        <v>3</v>
      </c>
      <c r="D153" s="3">
        <f t="shared" si="14"/>
        <v>1</v>
      </c>
      <c r="E153" s="26">
        <v>26.4</v>
      </c>
      <c r="F153" s="26">
        <v>30.4</v>
      </c>
      <c r="G153" s="26">
        <v>29</v>
      </c>
      <c r="H153" s="34">
        <v>28.049999999999997</v>
      </c>
      <c r="I153" s="27">
        <v>31.2</v>
      </c>
      <c r="J153" s="27">
        <v>23.8</v>
      </c>
      <c r="K153" s="28">
        <v>0.8</v>
      </c>
      <c r="L153" s="35">
        <v>93.75</v>
      </c>
      <c r="M153" s="5"/>
      <c r="N153" s="29">
        <v>1008.8666666666667</v>
      </c>
      <c r="O153" s="30">
        <v>100</v>
      </c>
      <c r="P153" s="30">
        <v>73.210354140545988</v>
      </c>
      <c r="Q153" s="30">
        <v>76.543483220818331</v>
      </c>
      <c r="R153" s="8">
        <v>87.438459340341069</v>
      </c>
      <c r="S153" s="31">
        <v>4.4666666666666668</v>
      </c>
      <c r="T153" s="32">
        <v>330</v>
      </c>
      <c r="U153" s="81">
        <v>9</v>
      </c>
      <c r="V153" s="82">
        <v>0</v>
      </c>
    </row>
    <row r="154" spans="1:22" s="53" customFormat="1" x14ac:dyDescent="0.35">
      <c r="A154" s="2">
        <v>42796</v>
      </c>
      <c r="B154" s="3">
        <f t="shared" si="12"/>
        <v>2017</v>
      </c>
      <c r="C154" s="3">
        <f t="shared" si="13"/>
        <v>3</v>
      </c>
      <c r="D154" s="3">
        <f t="shared" si="14"/>
        <v>2</v>
      </c>
      <c r="E154" s="26">
        <v>23.8</v>
      </c>
      <c r="F154" s="26">
        <v>30.6</v>
      </c>
      <c r="G154" s="26">
        <v>29.4</v>
      </c>
      <c r="H154" s="34">
        <v>26.9</v>
      </c>
      <c r="I154" s="27">
        <v>31.2</v>
      </c>
      <c r="J154" s="27">
        <v>23.8</v>
      </c>
      <c r="K154" s="28">
        <v>2</v>
      </c>
      <c r="L154" s="35">
        <v>100</v>
      </c>
      <c r="M154" s="5"/>
      <c r="N154" s="29">
        <v>1008.25</v>
      </c>
      <c r="O154" s="30">
        <v>96.534403662103315</v>
      </c>
      <c r="P154" s="30">
        <v>64.40032211934485</v>
      </c>
      <c r="Q154" s="30">
        <v>75.374775494513244</v>
      </c>
      <c r="R154" s="8">
        <v>83.210976234516181</v>
      </c>
      <c r="S154" s="31">
        <v>3.1764705882352939</v>
      </c>
      <c r="T154" s="32">
        <v>200</v>
      </c>
      <c r="U154" s="81">
        <v>6</v>
      </c>
      <c r="V154" s="82">
        <v>0</v>
      </c>
    </row>
    <row r="155" spans="1:22" s="53" customFormat="1" x14ac:dyDescent="0.35">
      <c r="A155" s="2">
        <v>42797</v>
      </c>
      <c r="B155" s="3">
        <f t="shared" si="12"/>
        <v>2017</v>
      </c>
      <c r="C155" s="3">
        <f t="shared" si="13"/>
        <v>3</v>
      </c>
      <c r="D155" s="3">
        <f t="shared" si="14"/>
        <v>3</v>
      </c>
      <c r="E155" s="26">
        <v>24.4</v>
      </c>
      <c r="F155" s="26">
        <v>31.2</v>
      </c>
      <c r="G155" s="26">
        <v>29.6</v>
      </c>
      <c r="H155" s="34">
        <v>27.4</v>
      </c>
      <c r="I155" s="27">
        <v>31.6</v>
      </c>
      <c r="J155" s="27">
        <v>24.2</v>
      </c>
      <c r="K155" s="28">
        <v>7.5</v>
      </c>
      <c r="L155" s="35">
        <v>87.5</v>
      </c>
      <c r="M155" s="5"/>
      <c r="N155" s="29">
        <v>1007.1208333333333</v>
      </c>
      <c r="O155" s="30">
        <v>94.894914160613908</v>
      </c>
      <c r="P155" s="30">
        <v>62.400720178434185</v>
      </c>
      <c r="Q155" s="30">
        <v>71.473087851655166</v>
      </c>
      <c r="R155" s="8">
        <v>80.915909087829291</v>
      </c>
      <c r="S155" s="31">
        <v>3.4666666666666668</v>
      </c>
      <c r="T155" s="32">
        <v>20</v>
      </c>
      <c r="U155" s="81">
        <v>6</v>
      </c>
      <c r="V155" s="82">
        <v>0</v>
      </c>
    </row>
    <row r="156" spans="1:22" s="53" customFormat="1" x14ac:dyDescent="0.35">
      <c r="A156" s="2">
        <v>42798</v>
      </c>
      <c r="B156" s="3">
        <f t="shared" si="12"/>
        <v>2017</v>
      </c>
      <c r="C156" s="3">
        <f t="shared" si="13"/>
        <v>3</v>
      </c>
      <c r="D156" s="3">
        <f t="shared" si="14"/>
        <v>4</v>
      </c>
      <c r="E156" s="26">
        <v>24.2</v>
      </c>
      <c r="F156" s="26">
        <v>30.8</v>
      </c>
      <c r="G156" s="26">
        <v>30</v>
      </c>
      <c r="H156" s="34">
        <v>27.3</v>
      </c>
      <c r="I156" s="27">
        <v>31.4</v>
      </c>
      <c r="J156" s="27">
        <v>24.2</v>
      </c>
      <c r="K156" s="28" t="s">
        <v>9</v>
      </c>
      <c r="L156" s="35">
        <v>87.5</v>
      </c>
      <c r="M156" s="5"/>
      <c r="N156" s="29">
        <v>1007.5499999999997</v>
      </c>
      <c r="O156" s="30">
        <v>96.568099297186336</v>
      </c>
      <c r="P156" s="30">
        <v>62.094113200055368</v>
      </c>
      <c r="Q156" s="30">
        <v>73.014581937811755</v>
      </c>
      <c r="R156" s="8">
        <v>82.061223433059951</v>
      </c>
      <c r="S156" s="31">
        <v>4.5</v>
      </c>
      <c r="T156" s="32">
        <v>10</v>
      </c>
      <c r="U156" s="81">
        <v>9</v>
      </c>
      <c r="V156" s="82">
        <v>0</v>
      </c>
    </row>
    <row r="157" spans="1:22" s="53" customFormat="1" x14ac:dyDescent="0.35">
      <c r="A157" s="2">
        <v>42799</v>
      </c>
      <c r="B157" s="3">
        <f t="shared" si="12"/>
        <v>2017</v>
      </c>
      <c r="C157" s="3">
        <f t="shared" si="13"/>
        <v>3</v>
      </c>
      <c r="D157" s="3">
        <f t="shared" si="14"/>
        <v>5</v>
      </c>
      <c r="E157" s="26">
        <v>24.6</v>
      </c>
      <c r="F157" s="26">
        <v>31.2</v>
      </c>
      <c r="G157" s="26">
        <v>30.2</v>
      </c>
      <c r="H157" s="34">
        <v>27.650000000000002</v>
      </c>
      <c r="I157" s="27">
        <v>31.4</v>
      </c>
      <c r="J157" s="27">
        <v>24.6</v>
      </c>
      <c r="K157" s="28" t="s">
        <v>9</v>
      </c>
      <c r="L157" s="35">
        <v>81.25</v>
      </c>
      <c r="M157" s="5"/>
      <c r="N157" s="29">
        <v>1007.5583333333333</v>
      </c>
      <c r="O157" s="30">
        <v>89.945706764537846</v>
      </c>
      <c r="P157" s="30">
        <v>66.055276602580903</v>
      </c>
      <c r="Q157" s="30">
        <v>69.215370795765978</v>
      </c>
      <c r="R157" s="8">
        <v>78.790515231855636</v>
      </c>
      <c r="S157" s="31">
        <v>4.2105263157894735</v>
      </c>
      <c r="T157" s="32">
        <v>200</v>
      </c>
      <c r="U157" s="81">
        <v>9</v>
      </c>
      <c r="V157" s="82">
        <v>0</v>
      </c>
    </row>
    <row r="158" spans="1:22" s="53" customFormat="1" x14ac:dyDescent="0.35">
      <c r="A158" s="2">
        <v>42800</v>
      </c>
      <c r="B158" s="3">
        <f t="shared" si="12"/>
        <v>2017</v>
      </c>
      <c r="C158" s="3">
        <f t="shared" si="13"/>
        <v>3</v>
      </c>
      <c r="D158" s="3">
        <f t="shared" si="14"/>
        <v>6</v>
      </c>
      <c r="E158" s="26">
        <v>25.8</v>
      </c>
      <c r="F158" s="26">
        <v>30.2</v>
      </c>
      <c r="G158" s="26">
        <v>28.6</v>
      </c>
      <c r="H158" s="34">
        <v>27.6</v>
      </c>
      <c r="I158" s="27">
        <v>30.4</v>
      </c>
      <c r="J158" s="27">
        <v>24.8</v>
      </c>
      <c r="K158" s="28" t="s">
        <v>9</v>
      </c>
      <c r="L158" s="35">
        <v>15</v>
      </c>
      <c r="M158" s="5"/>
      <c r="N158" s="29">
        <v>1007.6916666666667</v>
      </c>
      <c r="O158" s="30">
        <v>90.223612944047531</v>
      </c>
      <c r="P158" s="30">
        <v>74.432126465926771</v>
      </c>
      <c r="Q158" s="30">
        <v>80.578683207413079</v>
      </c>
      <c r="R158" s="8">
        <v>83.864508890358721</v>
      </c>
      <c r="S158" s="31">
        <v>4.2727272727272725</v>
      </c>
      <c r="T158" s="32">
        <v>260</v>
      </c>
      <c r="U158" s="81">
        <v>8</v>
      </c>
      <c r="V158" s="82">
        <v>0</v>
      </c>
    </row>
    <row r="159" spans="1:22" s="53" customFormat="1" x14ac:dyDescent="0.35">
      <c r="A159" s="2">
        <v>42801</v>
      </c>
      <c r="B159" s="3">
        <f t="shared" si="12"/>
        <v>2017</v>
      </c>
      <c r="C159" s="3">
        <f t="shared" si="13"/>
        <v>3</v>
      </c>
      <c r="D159" s="3">
        <f t="shared" si="14"/>
        <v>7</v>
      </c>
      <c r="E159" s="26">
        <v>25</v>
      </c>
      <c r="F159" s="26">
        <v>31.2</v>
      </c>
      <c r="G159" s="26">
        <v>27.6</v>
      </c>
      <c r="H159" s="34">
        <v>27.200000000000003</v>
      </c>
      <c r="I159" s="27">
        <v>31.4</v>
      </c>
      <c r="J159" s="27">
        <v>25</v>
      </c>
      <c r="K159" s="28" t="s">
        <v>9</v>
      </c>
      <c r="L159" s="35">
        <v>65</v>
      </c>
      <c r="M159" s="5"/>
      <c r="N159" s="29">
        <v>1008.6041666666666</v>
      </c>
      <c r="O159" s="30">
        <v>93.312127038673111</v>
      </c>
      <c r="P159" s="30">
        <v>69.804158699902757</v>
      </c>
      <c r="Q159" s="30">
        <v>83.090279147740333</v>
      </c>
      <c r="R159" s="8">
        <v>84.879672981247325</v>
      </c>
      <c r="S159" s="31">
        <v>6.083333333333333</v>
      </c>
      <c r="T159" s="32">
        <v>260</v>
      </c>
      <c r="U159" s="81">
        <v>14</v>
      </c>
      <c r="V159" s="82">
        <v>0</v>
      </c>
    </row>
    <row r="160" spans="1:22" s="53" customFormat="1" x14ac:dyDescent="0.35">
      <c r="A160" s="2">
        <v>42802</v>
      </c>
      <c r="B160" s="3">
        <f t="shared" si="12"/>
        <v>2017</v>
      </c>
      <c r="C160" s="3">
        <f t="shared" si="13"/>
        <v>3</v>
      </c>
      <c r="D160" s="3">
        <f t="shared" si="14"/>
        <v>8</v>
      </c>
      <c r="E160" s="26">
        <v>25.8</v>
      </c>
      <c r="F160" s="26">
        <v>31.9</v>
      </c>
      <c r="G160" s="26">
        <v>28.9</v>
      </c>
      <c r="H160" s="34">
        <v>28.1</v>
      </c>
      <c r="I160" s="27">
        <v>32</v>
      </c>
      <c r="J160" s="27">
        <v>25.4</v>
      </c>
      <c r="K160" s="28" t="s">
        <v>9</v>
      </c>
      <c r="L160" s="35">
        <v>81.25</v>
      </c>
      <c r="M160" s="5"/>
      <c r="N160" s="29">
        <v>1008.8291666666664</v>
      </c>
      <c r="O160" s="30">
        <v>76.317868174165341</v>
      </c>
      <c r="P160" s="30">
        <v>63.482747517797414</v>
      </c>
      <c r="Q160" s="30">
        <v>75.807923501738273</v>
      </c>
      <c r="R160" s="8">
        <v>72.981601841966594</v>
      </c>
      <c r="S160" s="31">
        <v>6.1363636363636367</v>
      </c>
      <c r="T160" s="32">
        <v>260</v>
      </c>
      <c r="U160" s="81">
        <v>10</v>
      </c>
      <c r="V160" s="82">
        <v>0</v>
      </c>
    </row>
    <row r="161" spans="1:22" s="53" customFormat="1" x14ac:dyDescent="0.35">
      <c r="A161" s="2">
        <v>42803</v>
      </c>
      <c r="B161" s="3">
        <f t="shared" si="12"/>
        <v>2017</v>
      </c>
      <c r="C161" s="3">
        <f t="shared" si="13"/>
        <v>3</v>
      </c>
      <c r="D161" s="3">
        <f t="shared" si="14"/>
        <v>9</v>
      </c>
      <c r="E161" s="26">
        <v>25.4</v>
      </c>
      <c r="F161" s="26">
        <v>31.4</v>
      </c>
      <c r="G161" s="26">
        <v>29</v>
      </c>
      <c r="H161" s="34">
        <v>27.799999999999997</v>
      </c>
      <c r="I161" s="27">
        <v>31.8</v>
      </c>
      <c r="J161" s="27">
        <v>24.4</v>
      </c>
      <c r="K161" s="28" t="s">
        <v>9</v>
      </c>
      <c r="L161" s="35">
        <v>43.75</v>
      </c>
      <c r="M161" s="5"/>
      <c r="N161" s="29">
        <v>1008.1041666666669</v>
      </c>
      <c r="O161" s="30">
        <v>95.01074238835659</v>
      </c>
      <c r="P161" s="30">
        <v>69.918937960942003</v>
      </c>
      <c r="Q161" s="30">
        <v>77.936808858904541</v>
      </c>
      <c r="R161" s="8">
        <v>84.469307899139935</v>
      </c>
      <c r="S161" s="31">
        <v>4.3684210526315788</v>
      </c>
      <c r="T161" s="32">
        <v>210</v>
      </c>
      <c r="U161" s="81">
        <v>10</v>
      </c>
      <c r="V161" s="82">
        <v>0</v>
      </c>
    </row>
    <row r="162" spans="1:22" s="53" customFormat="1" x14ac:dyDescent="0.35">
      <c r="A162" s="2">
        <v>42804</v>
      </c>
      <c r="B162" s="3">
        <f t="shared" si="12"/>
        <v>2017</v>
      </c>
      <c r="C162" s="3">
        <f t="shared" si="13"/>
        <v>3</v>
      </c>
      <c r="D162" s="3">
        <f t="shared" si="14"/>
        <v>10</v>
      </c>
      <c r="E162" s="26">
        <v>24.2</v>
      </c>
      <c r="F162" s="26">
        <v>30.4</v>
      </c>
      <c r="G162" s="26">
        <v>29.6</v>
      </c>
      <c r="H162" s="34">
        <v>27.1</v>
      </c>
      <c r="I162" s="27">
        <v>31.6</v>
      </c>
      <c r="J162" s="27">
        <v>23.2</v>
      </c>
      <c r="K162" s="28">
        <v>69.5</v>
      </c>
      <c r="L162" s="35">
        <v>72.5</v>
      </c>
      <c r="M162" s="5"/>
      <c r="N162" s="29">
        <v>1008.5375</v>
      </c>
      <c r="O162" s="30">
        <v>96.567467902988355</v>
      </c>
      <c r="P162" s="30">
        <v>70.606996407296023</v>
      </c>
      <c r="Q162" s="30">
        <v>70.143183575163818</v>
      </c>
      <c r="R162" s="8">
        <v>83.471278947109141</v>
      </c>
      <c r="S162" s="31">
        <v>4.0526315789473681</v>
      </c>
      <c r="T162" s="32">
        <v>300</v>
      </c>
      <c r="U162" s="81">
        <v>9</v>
      </c>
      <c r="V162" s="82">
        <v>0</v>
      </c>
    </row>
    <row r="163" spans="1:22" s="53" customFormat="1" x14ac:dyDescent="0.35">
      <c r="A163" s="2">
        <v>42805</v>
      </c>
      <c r="B163" s="3">
        <f t="shared" si="12"/>
        <v>2017</v>
      </c>
      <c r="C163" s="3">
        <f t="shared" si="13"/>
        <v>3</v>
      </c>
      <c r="D163" s="3">
        <f t="shared" si="14"/>
        <v>11</v>
      </c>
      <c r="E163" s="26">
        <v>24.6</v>
      </c>
      <c r="F163" s="26">
        <v>30</v>
      </c>
      <c r="G163" s="26">
        <v>29.2</v>
      </c>
      <c r="H163" s="34">
        <v>27.1</v>
      </c>
      <c r="I163" s="27">
        <v>30.4</v>
      </c>
      <c r="J163" s="27">
        <v>24.6</v>
      </c>
      <c r="K163" s="28" t="s">
        <v>9</v>
      </c>
      <c r="L163" s="35">
        <v>53.75</v>
      </c>
      <c r="M163" s="5"/>
      <c r="N163" s="29">
        <v>1009.85</v>
      </c>
      <c r="O163" s="30">
        <v>94.917194575935724</v>
      </c>
      <c r="P163" s="30">
        <v>72.988255234347491</v>
      </c>
      <c r="Q163" s="30">
        <v>72.553451830757396</v>
      </c>
      <c r="R163" s="8">
        <v>83.844024054244088</v>
      </c>
      <c r="S163" s="31">
        <v>4.3125</v>
      </c>
      <c r="T163" s="32">
        <v>200</v>
      </c>
      <c r="U163" s="81">
        <v>9</v>
      </c>
      <c r="V163" s="82">
        <v>0</v>
      </c>
    </row>
    <row r="164" spans="1:22" s="53" customFormat="1" x14ac:dyDescent="0.35">
      <c r="A164" s="2">
        <v>42806</v>
      </c>
      <c r="B164" s="3">
        <f t="shared" si="12"/>
        <v>2017</v>
      </c>
      <c r="C164" s="3">
        <f t="shared" si="13"/>
        <v>3</v>
      </c>
      <c r="D164" s="3">
        <f t="shared" si="14"/>
        <v>12</v>
      </c>
      <c r="E164" s="26">
        <v>25</v>
      </c>
      <c r="F164" s="26">
        <v>30.9</v>
      </c>
      <c r="G164" s="26">
        <v>28.9</v>
      </c>
      <c r="H164" s="34">
        <v>27.450000000000003</v>
      </c>
      <c r="I164" s="27">
        <v>31</v>
      </c>
      <c r="J164" s="27">
        <v>24.4</v>
      </c>
      <c r="K164" s="28">
        <v>5.5</v>
      </c>
      <c r="L164" s="35">
        <v>100</v>
      </c>
      <c r="M164" s="5"/>
      <c r="N164" s="29">
        <v>1010.2958333333332</v>
      </c>
      <c r="O164" s="30">
        <v>98.308434645961967</v>
      </c>
      <c r="P164" s="30">
        <v>64.592167885899173</v>
      </c>
      <c r="Q164" s="30">
        <v>75.799365312615691</v>
      </c>
      <c r="R164" s="8">
        <v>84.252100622609703</v>
      </c>
      <c r="S164" s="31">
        <v>4.882352941176471</v>
      </c>
      <c r="T164" s="32">
        <v>250</v>
      </c>
      <c r="U164" s="81">
        <v>9</v>
      </c>
      <c r="V164" s="82">
        <v>0</v>
      </c>
    </row>
    <row r="165" spans="1:22" s="53" customFormat="1" x14ac:dyDescent="0.35">
      <c r="A165" s="2">
        <v>42807</v>
      </c>
      <c r="B165" s="3">
        <f t="shared" si="12"/>
        <v>2017</v>
      </c>
      <c r="C165" s="3">
        <f t="shared" si="13"/>
        <v>3</v>
      </c>
      <c r="D165" s="3">
        <f t="shared" si="14"/>
        <v>13</v>
      </c>
      <c r="E165" s="26">
        <v>24.6</v>
      </c>
      <c r="F165" s="26">
        <v>29.6</v>
      </c>
      <c r="G165" s="26">
        <v>23.6</v>
      </c>
      <c r="H165" s="34">
        <v>25.6</v>
      </c>
      <c r="I165" s="27">
        <v>31.4</v>
      </c>
      <c r="J165" s="27">
        <v>22.7</v>
      </c>
      <c r="K165" s="28">
        <v>82.6</v>
      </c>
      <c r="L165" s="35">
        <v>43.75</v>
      </c>
      <c r="M165" s="5"/>
      <c r="N165" s="29">
        <v>1010.7958333333332</v>
      </c>
      <c r="O165" s="30">
        <v>94.915499307076772</v>
      </c>
      <c r="P165" s="30">
        <v>75.453041426478521</v>
      </c>
      <c r="Q165" s="30">
        <v>98.251626348945436</v>
      </c>
      <c r="R165" s="8">
        <v>90.883916597394375</v>
      </c>
      <c r="S165" s="31">
        <v>5.55</v>
      </c>
      <c r="T165" s="32">
        <v>190</v>
      </c>
      <c r="U165" s="81">
        <v>17</v>
      </c>
      <c r="V165" s="82">
        <v>0</v>
      </c>
    </row>
    <row r="166" spans="1:22" s="53" customFormat="1" x14ac:dyDescent="0.35">
      <c r="A166" s="2">
        <v>42808</v>
      </c>
      <c r="B166" s="3">
        <f t="shared" si="12"/>
        <v>2017</v>
      </c>
      <c r="C166" s="3">
        <f t="shared" si="13"/>
        <v>3</v>
      </c>
      <c r="D166" s="3">
        <f t="shared" si="14"/>
        <v>14</v>
      </c>
      <c r="E166" s="26">
        <v>22.8</v>
      </c>
      <c r="F166" s="26">
        <v>30.4</v>
      </c>
      <c r="G166" s="26">
        <v>24.4</v>
      </c>
      <c r="H166" s="34">
        <v>25.1</v>
      </c>
      <c r="I166" s="27">
        <v>31.6</v>
      </c>
      <c r="J166" s="27">
        <v>22.8</v>
      </c>
      <c r="K166" s="28">
        <v>25.5</v>
      </c>
      <c r="L166" s="35">
        <v>78.75</v>
      </c>
      <c r="M166" s="5"/>
      <c r="N166" s="29">
        <v>1385.2583333333334</v>
      </c>
      <c r="O166" s="30">
        <v>98.2169782860922</v>
      </c>
      <c r="P166" s="30">
        <v>73.197141198304365</v>
      </c>
      <c r="Q166" s="30">
        <v>96.581803382423431</v>
      </c>
      <c r="R166" s="8">
        <v>91.553225288228049</v>
      </c>
      <c r="S166" s="31">
        <v>4.5555555555555554</v>
      </c>
      <c r="T166" s="32">
        <v>260</v>
      </c>
      <c r="U166" s="81">
        <v>10</v>
      </c>
      <c r="V166" s="82">
        <v>0</v>
      </c>
    </row>
    <row r="167" spans="1:22" s="53" customFormat="1" x14ac:dyDescent="0.35">
      <c r="A167" s="2">
        <v>42809</v>
      </c>
      <c r="B167" s="3">
        <f t="shared" si="12"/>
        <v>2017</v>
      </c>
      <c r="C167" s="3">
        <f t="shared" si="13"/>
        <v>3</v>
      </c>
      <c r="D167" s="3">
        <f t="shared" si="14"/>
        <v>15</v>
      </c>
      <c r="E167" s="26">
        <v>23</v>
      </c>
      <c r="F167" s="26">
        <v>30</v>
      </c>
      <c r="G167" s="26">
        <v>28.8</v>
      </c>
      <c r="H167" s="34">
        <v>26.2</v>
      </c>
      <c r="I167" s="27">
        <v>30.4</v>
      </c>
      <c r="J167" s="27">
        <v>23</v>
      </c>
      <c r="K167" s="28" t="s">
        <v>9</v>
      </c>
      <c r="L167" s="35">
        <v>78.75</v>
      </c>
      <c r="M167" s="5"/>
      <c r="N167" s="29">
        <v>1009.4833333333335</v>
      </c>
      <c r="O167" s="30">
        <v>96.464771278520928</v>
      </c>
      <c r="P167" s="30">
        <v>65.220437671022864</v>
      </c>
      <c r="Q167" s="30">
        <v>73.690537404586436</v>
      </c>
      <c r="R167" s="8">
        <v>82.960129408162786</v>
      </c>
      <c r="S167" s="31">
        <v>3.6842105263157894</v>
      </c>
      <c r="T167" s="32">
        <v>190</v>
      </c>
      <c r="U167" s="81">
        <v>8</v>
      </c>
      <c r="V167" s="82">
        <v>0</v>
      </c>
    </row>
    <row r="168" spans="1:22" s="53" customFormat="1" x14ac:dyDescent="0.35">
      <c r="A168" s="2">
        <v>42810</v>
      </c>
      <c r="B168" s="3">
        <f t="shared" si="12"/>
        <v>2017</v>
      </c>
      <c r="C168" s="3">
        <f t="shared" si="13"/>
        <v>3</v>
      </c>
      <c r="D168" s="3">
        <f t="shared" si="14"/>
        <v>16</v>
      </c>
      <c r="E168" s="26">
        <v>24.6</v>
      </c>
      <c r="F168" s="26">
        <v>30.2</v>
      </c>
      <c r="G168" s="26">
        <v>29.2</v>
      </c>
      <c r="H168" s="34">
        <v>27.150000000000002</v>
      </c>
      <c r="I168" s="27">
        <v>30</v>
      </c>
      <c r="J168" s="27">
        <v>24.6</v>
      </c>
      <c r="K168" s="28" t="s">
        <v>9</v>
      </c>
      <c r="L168" s="35">
        <v>100</v>
      </c>
      <c r="M168" s="5"/>
      <c r="N168" s="29">
        <v>1009.3041666666667</v>
      </c>
      <c r="O168" s="30">
        <v>93.246298993929017</v>
      </c>
      <c r="P168" s="30">
        <v>74.426128858425457</v>
      </c>
      <c r="Q168" s="30">
        <v>72.554196874886983</v>
      </c>
      <c r="R168" s="8">
        <v>83.368230930292626</v>
      </c>
      <c r="S168" s="31">
        <v>3.8947368421052633</v>
      </c>
      <c r="T168" s="32">
        <v>160</v>
      </c>
      <c r="U168" s="81">
        <v>8</v>
      </c>
      <c r="V168" s="82">
        <v>0</v>
      </c>
    </row>
    <row r="169" spans="1:22" s="53" customFormat="1" x14ac:dyDescent="0.35">
      <c r="A169" s="2">
        <v>42811</v>
      </c>
      <c r="B169" s="3">
        <f t="shared" si="12"/>
        <v>2017</v>
      </c>
      <c r="C169" s="3">
        <f t="shared" si="13"/>
        <v>3</v>
      </c>
      <c r="D169" s="3">
        <f t="shared" si="14"/>
        <v>17</v>
      </c>
      <c r="E169" s="26">
        <v>24.8</v>
      </c>
      <c r="F169" s="26">
        <v>30.6</v>
      </c>
      <c r="G169" s="26">
        <v>29.4</v>
      </c>
      <c r="H169" s="34">
        <v>27.4</v>
      </c>
      <c r="I169" s="27">
        <v>31</v>
      </c>
      <c r="J169" s="27">
        <v>24.8</v>
      </c>
      <c r="K169" s="28" t="s">
        <v>9</v>
      </c>
      <c r="L169" s="35">
        <v>100</v>
      </c>
      <c r="M169" s="5"/>
      <c r="N169" s="29">
        <v>1009.9708333333334</v>
      </c>
      <c r="O169" s="30">
        <v>94.938492023961317</v>
      </c>
      <c r="P169" s="30">
        <v>68.158608493374999</v>
      </c>
      <c r="Q169" s="30">
        <v>76.731065711577202</v>
      </c>
      <c r="R169" s="8">
        <v>83.691664563218723</v>
      </c>
      <c r="S169" s="31">
        <v>4.7222222222222223</v>
      </c>
      <c r="T169" s="32">
        <v>190</v>
      </c>
      <c r="U169" s="81">
        <v>10</v>
      </c>
      <c r="V169" s="82">
        <v>0</v>
      </c>
    </row>
    <row r="170" spans="1:22" s="53" customFormat="1" x14ac:dyDescent="0.35">
      <c r="A170" s="2">
        <v>42812</v>
      </c>
      <c r="B170" s="3">
        <f t="shared" si="12"/>
        <v>2017</v>
      </c>
      <c r="C170" s="3">
        <f t="shared" si="13"/>
        <v>3</v>
      </c>
      <c r="D170" s="3">
        <f t="shared" si="14"/>
        <v>18</v>
      </c>
      <c r="E170" s="26">
        <v>25.2</v>
      </c>
      <c r="F170" s="26">
        <v>29.2</v>
      </c>
      <c r="G170" s="26">
        <v>27.2</v>
      </c>
      <c r="H170" s="34">
        <v>26.7</v>
      </c>
      <c r="I170" s="27">
        <v>31</v>
      </c>
      <c r="J170" s="27">
        <v>24.2</v>
      </c>
      <c r="K170" s="28">
        <v>6.6000000000000005</v>
      </c>
      <c r="L170" s="35">
        <v>16.25</v>
      </c>
      <c r="M170" s="5"/>
      <c r="N170" s="29">
        <v>1011.1333333333333</v>
      </c>
      <c r="O170" s="30">
        <v>91.702580347555326</v>
      </c>
      <c r="P170" s="30">
        <v>76.617667015770834</v>
      </c>
      <c r="Q170" s="30">
        <v>87.44572853530984</v>
      </c>
      <c r="R170" s="8">
        <v>86.867139061547832</v>
      </c>
      <c r="S170" s="31">
        <v>3.5454545454545454</v>
      </c>
      <c r="T170" s="32">
        <v>200</v>
      </c>
      <c r="U170" s="81">
        <v>9</v>
      </c>
      <c r="V170" s="82">
        <v>0</v>
      </c>
    </row>
    <row r="171" spans="1:22" s="53" customFormat="1" x14ac:dyDescent="0.35">
      <c r="A171" s="2">
        <v>42813</v>
      </c>
      <c r="B171" s="3">
        <f t="shared" si="12"/>
        <v>2017</v>
      </c>
      <c r="C171" s="3">
        <f t="shared" si="13"/>
        <v>3</v>
      </c>
      <c r="D171" s="3">
        <f t="shared" si="14"/>
        <v>19</v>
      </c>
      <c r="E171" s="26">
        <v>24.9</v>
      </c>
      <c r="F171" s="26">
        <v>30.6</v>
      </c>
      <c r="G171" s="26">
        <v>28.4</v>
      </c>
      <c r="H171" s="34">
        <v>27.200000000000003</v>
      </c>
      <c r="I171" s="27">
        <v>31.6</v>
      </c>
      <c r="J171" s="27">
        <v>24.9</v>
      </c>
      <c r="K171" s="28" t="s">
        <v>9</v>
      </c>
      <c r="L171" s="35">
        <v>26.25</v>
      </c>
      <c r="M171" s="5"/>
      <c r="N171" s="29">
        <v>1009.85</v>
      </c>
      <c r="O171" s="30">
        <v>92.46588347449169</v>
      </c>
      <c r="P171" s="30">
        <v>70.088570988856574</v>
      </c>
      <c r="Q171" s="30">
        <v>77.644890517279052</v>
      </c>
      <c r="R171" s="8">
        <v>83.166307113779752</v>
      </c>
      <c r="S171" s="31">
        <v>3.65</v>
      </c>
      <c r="T171" s="32">
        <v>260</v>
      </c>
      <c r="U171" s="81">
        <v>7</v>
      </c>
      <c r="V171" s="82">
        <v>0</v>
      </c>
    </row>
    <row r="172" spans="1:22" s="53" customFormat="1" x14ac:dyDescent="0.35">
      <c r="A172" s="2">
        <v>42814</v>
      </c>
      <c r="B172" s="3">
        <f t="shared" si="12"/>
        <v>2017</v>
      </c>
      <c r="C172" s="3">
        <f t="shared" si="13"/>
        <v>3</v>
      </c>
      <c r="D172" s="3">
        <f t="shared" si="14"/>
        <v>20</v>
      </c>
      <c r="E172" s="26">
        <v>25.2</v>
      </c>
      <c r="F172" s="26">
        <v>30.8</v>
      </c>
      <c r="G172" s="26">
        <v>27.6</v>
      </c>
      <c r="H172" s="34">
        <v>27.200000000000003</v>
      </c>
      <c r="I172" s="27">
        <v>31.4</v>
      </c>
      <c r="J172" s="27">
        <v>24.2</v>
      </c>
      <c r="K172" s="28">
        <v>17.5</v>
      </c>
      <c r="L172" s="35">
        <v>62.5</v>
      </c>
      <c r="M172" s="5"/>
      <c r="N172" s="29">
        <v>1009.0791666666665</v>
      </c>
      <c r="O172" s="30">
        <v>85.281813427410981</v>
      </c>
      <c r="P172" s="30">
        <v>68.287878807596059</v>
      </c>
      <c r="Q172" s="30">
        <v>80.153807976363609</v>
      </c>
      <c r="R172" s="8">
        <v>79.751328409695404</v>
      </c>
      <c r="S172" s="31">
        <v>4.875</v>
      </c>
      <c r="T172" s="32">
        <v>260</v>
      </c>
      <c r="U172" s="81">
        <v>13</v>
      </c>
      <c r="V172" s="82">
        <v>0</v>
      </c>
    </row>
    <row r="173" spans="1:22" s="53" customFormat="1" x14ac:dyDescent="0.35">
      <c r="A173" s="2">
        <v>42815</v>
      </c>
      <c r="B173" s="3">
        <f t="shared" si="12"/>
        <v>2017</v>
      </c>
      <c r="C173" s="3">
        <f t="shared" si="13"/>
        <v>3</v>
      </c>
      <c r="D173" s="3">
        <f t="shared" si="14"/>
        <v>21</v>
      </c>
      <c r="E173" s="26">
        <v>24.4</v>
      </c>
      <c r="F173" s="26">
        <v>30.2</v>
      </c>
      <c r="G173" s="26">
        <v>27.4</v>
      </c>
      <c r="H173" s="34">
        <v>26.6</v>
      </c>
      <c r="I173" s="27">
        <v>30.6</v>
      </c>
      <c r="J173" s="27">
        <v>24.4</v>
      </c>
      <c r="K173" s="28" t="s">
        <v>9</v>
      </c>
      <c r="L173" s="35">
        <v>47.5</v>
      </c>
      <c r="M173" s="5"/>
      <c r="N173" s="29">
        <v>1009.4375000000001</v>
      </c>
      <c r="O173" s="30">
        <v>91.549936807133662</v>
      </c>
      <c r="P173" s="30">
        <v>72.445889560604627</v>
      </c>
      <c r="Q173" s="30">
        <v>81.529641660284867</v>
      </c>
      <c r="R173" s="8">
        <v>84.268851208789201</v>
      </c>
      <c r="S173" s="31">
        <v>6.5217391304347823</v>
      </c>
      <c r="T173" s="32">
        <v>270</v>
      </c>
      <c r="U173" s="81">
        <v>16</v>
      </c>
      <c r="V173" s="82">
        <v>0</v>
      </c>
    </row>
    <row r="174" spans="1:22" s="53" customFormat="1" x14ac:dyDescent="0.35">
      <c r="A174" s="2">
        <v>42816</v>
      </c>
      <c r="B174" s="3">
        <f t="shared" si="12"/>
        <v>2017</v>
      </c>
      <c r="C174" s="3">
        <f t="shared" si="13"/>
        <v>3</v>
      </c>
      <c r="D174" s="3">
        <f t="shared" si="14"/>
        <v>22</v>
      </c>
      <c r="E174" s="26">
        <v>25.2</v>
      </c>
      <c r="F174" s="26">
        <v>29.8</v>
      </c>
      <c r="G174" s="26">
        <v>28.8</v>
      </c>
      <c r="H174" s="34">
        <v>27.25</v>
      </c>
      <c r="I174" s="27">
        <v>30.4</v>
      </c>
      <c r="J174" s="27">
        <v>25.2</v>
      </c>
      <c r="K174" s="28" t="s">
        <v>9</v>
      </c>
      <c r="L174" s="35">
        <v>62.5</v>
      </c>
      <c r="M174" s="5"/>
      <c r="N174" s="29">
        <v>1009.6416666666665</v>
      </c>
      <c r="O174" s="30">
        <v>94.986435782953578</v>
      </c>
      <c r="P174" s="30">
        <v>70.244754793737414</v>
      </c>
      <c r="Q174" s="30">
        <v>73.686203385311202</v>
      </c>
      <c r="R174" s="8">
        <v>83.475957436238943</v>
      </c>
      <c r="S174" s="31">
        <v>5.7368421052631575</v>
      </c>
      <c r="T174" s="32">
        <v>290</v>
      </c>
      <c r="U174" s="81">
        <v>18</v>
      </c>
      <c r="V174" s="82">
        <v>0</v>
      </c>
    </row>
    <row r="175" spans="1:22" s="53" customFormat="1" x14ac:dyDescent="0.35">
      <c r="A175" s="2">
        <v>42817</v>
      </c>
      <c r="B175" s="3">
        <f t="shared" si="12"/>
        <v>2017</v>
      </c>
      <c r="C175" s="3">
        <f t="shared" si="13"/>
        <v>3</v>
      </c>
      <c r="D175" s="3">
        <f t="shared" si="14"/>
        <v>23</v>
      </c>
      <c r="E175" s="26">
        <v>25.2</v>
      </c>
      <c r="F175" s="26">
        <v>31</v>
      </c>
      <c r="G175" s="26">
        <v>28.2</v>
      </c>
      <c r="H175" s="34">
        <v>27.400000000000002</v>
      </c>
      <c r="I175" s="27">
        <v>31.2</v>
      </c>
      <c r="J175" s="27">
        <v>25.2</v>
      </c>
      <c r="K175" s="28" t="s">
        <v>9</v>
      </c>
      <c r="L175" s="35">
        <v>41.25</v>
      </c>
      <c r="M175" s="5"/>
      <c r="N175" s="29">
        <v>1010.1333333333336</v>
      </c>
      <c r="O175" s="30">
        <v>96.645367715083125</v>
      </c>
      <c r="P175" s="30">
        <v>72.227112862286518</v>
      </c>
      <c r="Q175" s="30">
        <v>83.296686664118994</v>
      </c>
      <c r="R175" s="8">
        <v>87.20363373914293</v>
      </c>
      <c r="S175" s="31">
        <v>4.2</v>
      </c>
      <c r="T175" s="32">
        <v>220</v>
      </c>
      <c r="U175" s="81">
        <v>10</v>
      </c>
      <c r="V175" s="82">
        <v>0</v>
      </c>
    </row>
    <row r="176" spans="1:22" s="53" customFormat="1" x14ac:dyDescent="0.35">
      <c r="A176" s="2">
        <v>42818</v>
      </c>
      <c r="B176" s="3">
        <f t="shared" si="12"/>
        <v>2017</v>
      </c>
      <c r="C176" s="3">
        <f t="shared" si="13"/>
        <v>3</v>
      </c>
      <c r="D176" s="3">
        <f t="shared" si="14"/>
        <v>24</v>
      </c>
      <c r="E176" s="26">
        <v>25.2</v>
      </c>
      <c r="F176" s="26">
        <v>30.2</v>
      </c>
      <c r="G176" s="26">
        <v>29</v>
      </c>
      <c r="H176" s="34">
        <v>27.4</v>
      </c>
      <c r="I176" s="27">
        <v>30.4</v>
      </c>
      <c r="J176" s="27">
        <v>24</v>
      </c>
      <c r="K176" s="28" t="s">
        <v>9</v>
      </c>
      <c r="L176" s="35">
        <v>50</v>
      </c>
      <c r="M176" s="5"/>
      <c r="N176" s="29">
        <v>1010.0666666666666</v>
      </c>
      <c r="O176" s="30">
        <v>98.316222841117025</v>
      </c>
      <c r="P176" s="30">
        <v>74.414133643422829</v>
      </c>
      <c r="Q176" s="30">
        <v>76.540944447391794</v>
      </c>
      <c r="R176" s="8">
        <v>86.896880943262161</v>
      </c>
      <c r="S176" s="31">
        <v>4.4545454545454541</v>
      </c>
      <c r="T176" s="32">
        <v>350</v>
      </c>
      <c r="U176" s="81">
        <v>9</v>
      </c>
      <c r="V176" s="82">
        <v>0</v>
      </c>
    </row>
    <row r="177" spans="1:22" s="53" customFormat="1" x14ac:dyDescent="0.35">
      <c r="A177" s="2">
        <v>42819</v>
      </c>
      <c r="B177" s="3">
        <f t="shared" si="12"/>
        <v>2017</v>
      </c>
      <c r="C177" s="3">
        <f t="shared" si="13"/>
        <v>3</v>
      </c>
      <c r="D177" s="3">
        <f t="shared" si="14"/>
        <v>25</v>
      </c>
      <c r="E177" s="26">
        <v>25.2</v>
      </c>
      <c r="F177" s="26">
        <v>31.4</v>
      </c>
      <c r="G177" s="26">
        <v>29.2</v>
      </c>
      <c r="H177" s="34">
        <v>27.75</v>
      </c>
      <c r="I177" s="27">
        <v>31.6</v>
      </c>
      <c r="J177" s="27">
        <v>22</v>
      </c>
      <c r="K177" s="28" t="s">
        <v>9</v>
      </c>
      <c r="L177" s="35">
        <v>50</v>
      </c>
      <c r="M177" s="5"/>
      <c r="N177" s="29">
        <v>1009.9291666666667</v>
      </c>
      <c r="O177" s="30">
        <v>96.645268581228294</v>
      </c>
      <c r="P177" s="30">
        <v>72.440427782101011</v>
      </c>
      <c r="Q177" s="30">
        <v>73.906910055593116</v>
      </c>
      <c r="R177" s="8">
        <v>84.909468750037689</v>
      </c>
      <c r="S177" s="31">
        <v>5.916666666666667</v>
      </c>
      <c r="T177" s="32">
        <v>330</v>
      </c>
      <c r="U177" s="81">
        <v>10</v>
      </c>
      <c r="V177" s="82">
        <v>0</v>
      </c>
    </row>
    <row r="178" spans="1:22" s="53" customFormat="1" x14ac:dyDescent="0.35">
      <c r="A178" s="2">
        <v>42820</v>
      </c>
      <c r="B178" s="3">
        <f t="shared" si="12"/>
        <v>2017</v>
      </c>
      <c r="C178" s="3">
        <f t="shared" si="13"/>
        <v>3</v>
      </c>
      <c r="D178" s="3">
        <f t="shared" si="14"/>
        <v>26</v>
      </c>
      <c r="E178" s="26">
        <v>25.4</v>
      </c>
      <c r="F178" s="26">
        <v>26.8</v>
      </c>
      <c r="G178" s="26">
        <v>26</v>
      </c>
      <c r="H178" s="34">
        <v>25.9</v>
      </c>
      <c r="I178" s="27">
        <v>30</v>
      </c>
      <c r="J178" s="27">
        <v>24</v>
      </c>
      <c r="K178" s="28">
        <v>0.8</v>
      </c>
      <c r="L178" s="35">
        <v>6.25</v>
      </c>
      <c r="M178" s="5"/>
      <c r="N178" s="29">
        <v>1011.7666666666665</v>
      </c>
      <c r="O178" s="30">
        <v>95.008538230315907</v>
      </c>
      <c r="P178" s="30">
        <v>79.778922468197251</v>
      </c>
      <c r="Q178" s="30">
        <v>87.102424290284929</v>
      </c>
      <c r="R178" s="8">
        <v>89.224605804778506</v>
      </c>
      <c r="S178" s="31">
        <v>4.5625</v>
      </c>
      <c r="T178" s="32">
        <v>280</v>
      </c>
      <c r="U178" s="81">
        <v>11</v>
      </c>
      <c r="V178" s="82">
        <v>0</v>
      </c>
    </row>
    <row r="179" spans="1:22" s="53" customFormat="1" x14ac:dyDescent="0.35">
      <c r="A179" s="2">
        <v>42821</v>
      </c>
      <c r="B179" s="3">
        <f t="shared" si="12"/>
        <v>2017</v>
      </c>
      <c r="C179" s="3">
        <f t="shared" si="13"/>
        <v>3</v>
      </c>
      <c r="D179" s="3">
        <f t="shared" si="14"/>
        <v>27</v>
      </c>
      <c r="E179" s="26">
        <v>24.6</v>
      </c>
      <c r="F179" s="26">
        <v>30</v>
      </c>
      <c r="G179" s="26">
        <v>28.8</v>
      </c>
      <c r="H179" s="34">
        <v>27</v>
      </c>
      <c r="I179" s="27">
        <v>30.5</v>
      </c>
      <c r="J179" s="27">
        <v>24</v>
      </c>
      <c r="K179" s="28" t="s">
        <v>9</v>
      </c>
      <c r="L179" s="35">
        <v>78.75</v>
      </c>
      <c r="M179" s="5"/>
      <c r="N179" s="29">
        <v>1011.0874999999997</v>
      </c>
      <c r="O179" s="30">
        <v>94.913649922867037</v>
      </c>
      <c r="P179" s="30">
        <v>71.66090775677101</v>
      </c>
      <c r="Q179" s="30">
        <v>79.230522498653215</v>
      </c>
      <c r="R179" s="8">
        <v>85.179682525289579</v>
      </c>
      <c r="S179" s="31">
        <v>3.8666666666666667</v>
      </c>
      <c r="T179" s="32">
        <v>220</v>
      </c>
      <c r="U179" s="81">
        <v>6</v>
      </c>
      <c r="V179" s="82">
        <v>0</v>
      </c>
    </row>
    <row r="180" spans="1:22" s="53" customFormat="1" x14ac:dyDescent="0.35">
      <c r="A180" s="2">
        <v>42822</v>
      </c>
      <c r="B180" s="3">
        <f t="shared" si="12"/>
        <v>2017</v>
      </c>
      <c r="C180" s="3">
        <f t="shared" si="13"/>
        <v>3</v>
      </c>
      <c r="D180" s="3">
        <f t="shared" si="14"/>
        <v>28</v>
      </c>
      <c r="E180" s="26">
        <v>25.5</v>
      </c>
      <c r="F180" s="26">
        <v>29.6</v>
      </c>
      <c r="G180" s="26">
        <v>29</v>
      </c>
      <c r="H180" s="34">
        <v>27.4</v>
      </c>
      <c r="I180" s="27">
        <v>30.2</v>
      </c>
      <c r="J180" s="27">
        <v>24</v>
      </c>
      <c r="K180" s="28">
        <v>0.6</v>
      </c>
      <c r="L180" s="35">
        <v>41.25</v>
      </c>
      <c r="M180" s="5"/>
      <c r="N180" s="29">
        <v>1011.0545833333334</v>
      </c>
      <c r="O180" s="30">
        <v>92.567168679985173</v>
      </c>
      <c r="P180" s="30">
        <v>78.177333502116269</v>
      </c>
      <c r="Q180" s="30">
        <v>76.533328127112227</v>
      </c>
      <c r="R180" s="8">
        <v>84.961249747299703</v>
      </c>
      <c r="S180" s="31">
        <v>3.7142857142857144</v>
      </c>
      <c r="T180" s="32">
        <v>60</v>
      </c>
      <c r="U180" s="81">
        <v>10</v>
      </c>
      <c r="V180" s="82">
        <v>0</v>
      </c>
    </row>
    <row r="181" spans="1:22" s="53" customFormat="1" x14ac:dyDescent="0.35">
      <c r="A181" s="2">
        <v>42823</v>
      </c>
      <c r="B181" s="3">
        <f t="shared" si="12"/>
        <v>2017</v>
      </c>
      <c r="C181" s="3">
        <f t="shared" si="13"/>
        <v>3</v>
      </c>
      <c r="D181" s="3">
        <f t="shared" si="14"/>
        <v>29</v>
      </c>
      <c r="E181" s="26">
        <v>24.5</v>
      </c>
      <c r="F181" s="26">
        <v>30.8</v>
      </c>
      <c r="G181" s="26">
        <v>29.6</v>
      </c>
      <c r="H181" s="34">
        <v>27.35</v>
      </c>
      <c r="I181" s="27">
        <v>31.6</v>
      </c>
      <c r="J181" s="27">
        <v>24</v>
      </c>
      <c r="K181" s="28">
        <v>0.5</v>
      </c>
      <c r="L181" s="35">
        <v>81.25</v>
      </c>
      <c r="M181" s="5"/>
      <c r="N181" s="29">
        <v>1010.9833333333335</v>
      </c>
      <c r="O181" s="30">
        <v>96.58861113991054</v>
      </c>
      <c r="P181" s="30">
        <v>65.759538223728569</v>
      </c>
      <c r="Q181" s="30">
        <v>71.441665864156747</v>
      </c>
      <c r="R181" s="8">
        <v>82.594606591926592</v>
      </c>
      <c r="S181" s="31">
        <v>4.6470588235294121</v>
      </c>
      <c r="T181" s="32">
        <v>200</v>
      </c>
      <c r="U181" s="81">
        <v>10</v>
      </c>
      <c r="V181" s="82">
        <v>0</v>
      </c>
    </row>
    <row r="182" spans="1:22" s="53" customFormat="1" x14ac:dyDescent="0.35">
      <c r="A182" s="2">
        <v>42824</v>
      </c>
      <c r="B182" s="3">
        <f t="shared" si="12"/>
        <v>2017</v>
      </c>
      <c r="C182" s="3">
        <f t="shared" si="13"/>
        <v>3</v>
      </c>
      <c r="D182" s="3">
        <f t="shared" si="14"/>
        <v>30</v>
      </c>
      <c r="E182" s="26">
        <v>24</v>
      </c>
      <c r="F182" s="26">
        <v>31</v>
      </c>
      <c r="G182" s="26">
        <v>29.2</v>
      </c>
      <c r="H182" s="34">
        <v>27.05</v>
      </c>
      <c r="I182" s="27">
        <v>31.8</v>
      </c>
      <c r="J182" s="27">
        <v>24</v>
      </c>
      <c r="K182" s="28" t="s">
        <v>9</v>
      </c>
      <c r="L182" s="35">
        <v>100</v>
      </c>
      <c r="M182" s="5"/>
      <c r="N182" s="29">
        <v>1011.4712499999997</v>
      </c>
      <c r="O182" s="30">
        <v>94.840091593360725</v>
      </c>
      <c r="P182" s="30">
        <v>67.138264367349748</v>
      </c>
      <c r="Q182" s="30">
        <v>76.623313666016188</v>
      </c>
      <c r="R182" s="8">
        <v>83.360440305021854</v>
      </c>
      <c r="S182" s="31">
        <v>4.7647058823529411</v>
      </c>
      <c r="T182" s="32">
        <v>190</v>
      </c>
      <c r="U182" s="81">
        <v>9</v>
      </c>
      <c r="V182" s="82">
        <v>0</v>
      </c>
    </row>
    <row r="183" spans="1:22" s="53" customFormat="1" x14ac:dyDescent="0.35">
      <c r="A183" s="2">
        <v>42825</v>
      </c>
      <c r="B183" s="3">
        <f t="shared" si="12"/>
        <v>2017</v>
      </c>
      <c r="C183" s="3">
        <f t="shared" si="13"/>
        <v>3</v>
      </c>
      <c r="D183" s="3">
        <f t="shared" si="14"/>
        <v>31</v>
      </c>
      <c r="E183" s="26">
        <v>24.8</v>
      </c>
      <c r="F183" s="26">
        <v>30.8</v>
      </c>
      <c r="G183" s="26">
        <v>28.8</v>
      </c>
      <c r="H183" s="34">
        <v>27.3</v>
      </c>
      <c r="I183" s="27">
        <v>31.8</v>
      </c>
      <c r="J183" s="27">
        <v>24.8</v>
      </c>
      <c r="K183" s="28" t="s">
        <v>9</v>
      </c>
      <c r="L183" s="35">
        <v>0</v>
      </c>
      <c r="M183" s="5"/>
      <c r="N183" s="29">
        <v>813.47391304347821</v>
      </c>
      <c r="O183" s="30">
        <v>93.273007189953844</v>
      </c>
      <c r="P183" s="30">
        <v>64.516413880151788</v>
      </c>
      <c r="Q183" s="30">
        <v>76.429008259441616</v>
      </c>
      <c r="R183" s="8">
        <v>81.87285912987528</v>
      </c>
      <c r="S183" s="31">
        <v>4.3043478260869561</v>
      </c>
      <c r="T183" s="32">
        <v>190</v>
      </c>
      <c r="U183" s="81">
        <v>9</v>
      </c>
      <c r="V183" s="82">
        <v>0</v>
      </c>
    </row>
    <row r="184" spans="1:22" s="53" customFormat="1" x14ac:dyDescent="0.35">
      <c r="A184" s="2">
        <v>42826</v>
      </c>
      <c r="B184" s="3">
        <f t="shared" si="12"/>
        <v>2017</v>
      </c>
      <c r="C184" s="3">
        <f t="shared" si="13"/>
        <v>4</v>
      </c>
      <c r="D184" s="3">
        <f t="shared" si="14"/>
        <v>1</v>
      </c>
      <c r="E184" s="13">
        <v>26.2</v>
      </c>
      <c r="F184" s="13">
        <v>31.2</v>
      </c>
      <c r="G184" s="13">
        <v>29.6</v>
      </c>
      <c r="H184" s="34">
        <v>28.299999999999997</v>
      </c>
      <c r="I184" s="13">
        <v>31.4</v>
      </c>
      <c r="J184" s="13">
        <v>24</v>
      </c>
      <c r="K184" s="8" t="s">
        <v>9</v>
      </c>
      <c r="L184" s="20">
        <v>81.25</v>
      </c>
      <c r="M184" s="5"/>
      <c r="N184" s="13">
        <v>1010.5458333333335</v>
      </c>
      <c r="O184" s="8">
        <v>100</v>
      </c>
      <c r="P184" s="8">
        <v>62.358617463125199</v>
      </c>
      <c r="Q184" s="8">
        <v>68.813396032717307</v>
      </c>
      <c r="R184" s="8">
        <v>82.79300337396063</v>
      </c>
      <c r="S184" s="20">
        <v>3.1428571428571428</v>
      </c>
      <c r="T184" s="6">
        <v>210</v>
      </c>
      <c r="U184" s="20">
        <v>9</v>
      </c>
      <c r="V184" s="12">
        <v>0</v>
      </c>
    </row>
    <row r="185" spans="1:22" s="53" customFormat="1" x14ac:dyDescent="0.35">
      <c r="A185" s="2">
        <v>42827</v>
      </c>
      <c r="B185" s="3">
        <f t="shared" si="12"/>
        <v>2017</v>
      </c>
      <c r="C185" s="3">
        <f t="shared" si="13"/>
        <v>4</v>
      </c>
      <c r="D185" s="3">
        <f t="shared" si="14"/>
        <v>2</v>
      </c>
      <c r="E185" s="13">
        <v>24</v>
      </c>
      <c r="F185" s="13">
        <v>30.4</v>
      </c>
      <c r="G185" s="13">
        <v>27.8</v>
      </c>
      <c r="H185" s="34">
        <v>26.55</v>
      </c>
      <c r="I185" s="13">
        <v>31.4</v>
      </c>
      <c r="J185" s="13">
        <v>24</v>
      </c>
      <c r="K185" s="79" t="s">
        <v>9</v>
      </c>
      <c r="L185" s="20">
        <v>75</v>
      </c>
      <c r="M185" s="5"/>
      <c r="N185" s="13">
        <v>1010.1500000000001</v>
      </c>
      <c r="O185" s="8">
        <v>94.84168912650658</v>
      </c>
      <c r="P185" s="8">
        <v>69.305354668998163</v>
      </c>
      <c r="Q185" s="8">
        <v>78.786805995458664</v>
      </c>
      <c r="R185" s="8">
        <v>84.443884729367497</v>
      </c>
      <c r="S185" s="20">
        <v>4.2</v>
      </c>
      <c r="T185" s="6">
        <v>220</v>
      </c>
      <c r="U185" s="20">
        <v>8</v>
      </c>
      <c r="V185" s="12">
        <v>0</v>
      </c>
    </row>
    <row r="186" spans="1:22" s="53" customFormat="1" x14ac:dyDescent="0.35">
      <c r="A186" s="2">
        <v>42828</v>
      </c>
      <c r="B186" s="3">
        <f t="shared" si="12"/>
        <v>2017</v>
      </c>
      <c r="C186" s="3">
        <f t="shared" si="13"/>
        <v>4</v>
      </c>
      <c r="D186" s="3">
        <f t="shared" si="14"/>
        <v>3</v>
      </c>
      <c r="E186" s="13">
        <v>25.2</v>
      </c>
      <c r="F186" s="13">
        <v>30</v>
      </c>
      <c r="G186" s="13">
        <v>28.2</v>
      </c>
      <c r="H186" s="34">
        <v>27.150000000000002</v>
      </c>
      <c r="I186" s="13">
        <v>30</v>
      </c>
      <c r="J186" s="13">
        <v>23.4</v>
      </c>
      <c r="K186" s="18">
        <v>0</v>
      </c>
      <c r="L186" s="20">
        <v>45</v>
      </c>
      <c r="M186" s="5"/>
      <c r="N186" s="13">
        <v>1010.2624999999998</v>
      </c>
      <c r="O186" s="8">
        <v>94.989261097816296</v>
      </c>
      <c r="P186" s="8">
        <v>74.315749651133359</v>
      </c>
      <c r="Q186" s="8">
        <v>81.836858448211089</v>
      </c>
      <c r="R186" s="8">
        <v>86.532782573744257</v>
      </c>
      <c r="S186" s="20">
        <v>3.8333333333333335</v>
      </c>
      <c r="T186" s="6">
        <v>70</v>
      </c>
      <c r="U186" s="20">
        <v>6</v>
      </c>
      <c r="V186" s="12">
        <v>0</v>
      </c>
    </row>
    <row r="187" spans="1:22" s="53" customFormat="1" x14ac:dyDescent="0.35">
      <c r="A187" s="2">
        <v>42829</v>
      </c>
      <c r="B187" s="3">
        <f t="shared" si="12"/>
        <v>2017</v>
      </c>
      <c r="C187" s="3">
        <f t="shared" si="13"/>
        <v>4</v>
      </c>
      <c r="D187" s="3">
        <f t="shared" si="14"/>
        <v>4</v>
      </c>
      <c r="E187" s="13">
        <v>23.6</v>
      </c>
      <c r="F187" s="13">
        <v>30.2</v>
      </c>
      <c r="G187" s="13">
        <v>28.4</v>
      </c>
      <c r="H187" s="34">
        <v>26.450000000000003</v>
      </c>
      <c r="I187" s="13">
        <v>31.2</v>
      </c>
      <c r="J187" s="13">
        <v>23.6</v>
      </c>
      <c r="K187" s="18">
        <v>4.4000000000000004</v>
      </c>
      <c r="L187" s="20">
        <v>87.5</v>
      </c>
      <c r="M187" s="5"/>
      <c r="N187" s="13">
        <v>1009.5541666666668</v>
      </c>
      <c r="O187" s="8">
        <v>95.65308997979399</v>
      </c>
      <c r="P187" s="8">
        <v>70.482064734374163</v>
      </c>
      <c r="Q187" s="8">
        <v>76.239823175257115</v>
      </c>
      <c r="R187" s="8">
        <v>84.507016967304821</v>
      </c>
      <c r="S187" s="20">
        <v>4.2631578947368425</v>
      </c>
      <c r="T187" s="6">
        <v>310</v>
      </c>
      <c r="U187" s="20">
        <v>8</v>
      </c>
      <c r="V187" s="12">
        <v>0</v>
      </c>
    </row>
    <row r="188" spans="1:22" s="53" customFormat="1" x14ac:dyDescent="0.35">
      <c r="A188" s="2">
        <v>42830</v>
      </c>
      <c r="B188" s="3">
        <f t="shared" si="12"/>
        <v>2017</v>
      </c>
      <c r="C188" s="3">
        <f t="shared" si="13"/>
        <v>4</v>
      </c>
      <c r="D188" s="3">
        <f t="shared" si="14"/>
        <v>5</v>
      </c>
      <c r="E188" s="13">
        <v>25</v>
      </c>
      <c r="F188" s="13">
        <v>30.5</v>
      </c>
      <c r="G188" s="13">
        <v>28.6</v>
      </c>
      <c r="H188" s="34">
        <v>27.274999999999999</v>
      </c>
      <c r="I188" s="13">
        <v>30.8</v>
      </c>
      <c r="J188" s="13">
        <v>24.8</v>
      </c>
      <c r="K188" s="79">
        <v>10</v>
      </c>
      <c r="L188" s="20">
        <v>93.75</v>
      </c>
      <c r="M188" s="5"/>
      <c r="N188" s="13">
        <v>1007.6916666666666</v>
      </c>
      <c r="O188" s="8">
        <v>96.630540397685394</v>
      </c>
      <c r="P188" s="8">
        <v>68.746402943663384</v>
      </c>
      <c r="Q188" s="8">
        <v>77.750374843124192</v>
      </c>
      <c r="R188" s="8">
        <v>84.939464645539587</v>
      </c>
      <c r="S188" s="20">
        <v>4.6875</v>
      </c>
      <c r="T188" s="6">
        <v>230</v>
      </c>
      <c r="U188" s="20">
        <v>8</v>
      </c>
      <c r="V188" s="12">
        <v>0</v>
      </c>
    </row>
    <row r="189" spans="1:22" s="53" customFormat="1" x14ac:dyDescent="0.35">
      <c r="A189" s="2">
        <v>42831</v>
      </c>
      <c r="B189" s="3">
        <f t="shared" si="12"/>
        <v>2017</v>
      </c>
      <c r="C189" s="3">
        <f t="shared" si="13"/>
        <v>4</v>
      </c>
      <c r="D189" s="3">
        <f t="shared" si="14"/>
        <v>6</v>
      </c>
      <c r="E189" s="13">
        <v>24.8</v>
      </c>
      <c r="F189" s="13">
        <v>28.4</v>
      </c>
      <c r="G189" s="13">
        <v>26.6</v>
      </c>
      <c r="H189" s="34">
        <v>26.15</v>
      </c>
      <c r="I189" s="13">
        <v>28.8</v>
      </c>
      <c r="J189" s="13">
        <v>24.2</v>
      </c>
      <c r="K189" s="79">
        <v>33</v>
      </c>
      <c r="L189" s="20">
        <v>0</v>
      </c>
      <c r="M189" s="5"/>
      <c r="N189" s="13">
        <v>1007.625</v>
      </c>
      <c r="O189" s="8">
        <v>98.302236442649431</v>
      </c>
      <c r="P189" s="8">
        <v>81.926261282925324</v>
      </c>
      <c r="Q189" s="8">
        <v>91.972281105537107</v>
      </c>
      <c r="R189" s="8">
        <v>92.625753818440316</v>
      </c>
      <c r="S189" s="20">
        <v>4.0666666666666664</v>
      </c>
      <c r="T189" s="6">
        <v>300</v>
      </c>
      <c r="U189" s="20">
        <v>11</v>
      </c>
      <c r="V189" s="12">
        <v>0</v>
      </c>
    </row>
    <row r="190" spans="1:22" s="53" customFormat="1" x14ac:dyDescent="0.35">
      <c r="A190" s="2">
        <v>42832</v>
      </c>
      <c r="B190" s="3">
        <f t="shared" si="12"/>
        <v>2017</v>
      </c>
      <c r="C190" s="3">
        <f t="shared" si="13"/>
        <v>4</v>
      </c>
      <c r="D190" s="3">
        <f t="shared" si="14"/>
        <v>7</v>
      </c>
      <c r="E190" s="13">
        <v>24.2</v>
      </c>
      <c r="F190" s="13">
        <v>29.6</v>
      </c>
      <c r="G190" s="13">
        <v>28</v>
      </c>
      <c r="H190" s="34">
        <v>26.5</v>
      </c>
      <c r="I190" s="13">
        <v>30.2</v>
      </c>
      <c r="J190" s="13">
        <v>24.2</v>
      </c>
      <c r="K190" s="79" t="s">
        <v>9</v>
      </c>
      <c r="L190" s="20">
        <v>37.5</v>
      </c>
      <c r="M190" s="5"/>
      <c r="N190" s="13">
        <v>1008.6249999999999</v>
      </c>
      <c r="O190" s="8">
        <v>98.277628094491817</v>
      </c>
      <c r="P190" s="8">
        <v>75.462161466752448</v>
      </c>
      <c r="Q190" s="8">
        <v>84.699189939486729</v>
      </c>
      <c r="R190" s="8">
        <v>89.179151898805713</v>
      </c>
      <c r="S190" s="20">
        <v>4.5</v>
      </c>
      <c r="T190" s="6">
        <v>300</v>
      </c>
      <c r="U190" s="20">
        <v>9</v>
      </c>
      <c r="V190" s="12">
        <v>0</v>
      </c>
    </row>
    <row r="191" spans="1:22" s="53" customFormat="1" x14ac:dyDescent="0.35">
      <c r="A191" s="2">
        <v>42833</v>
      </c>
      <c r="B191" s="3">
        <f t="shared" si="12"/>
        <v>2017</v>
      </c>
      <c r="C191" s="3">
        <f t="shared" si="13"/>
        <v>4</v>
      </c>
      <c r="D191" s="3">
        <f t="shared" si="14"/>
        <v>8</v>
      </c>
      <c r="E191" s="13">
        <v>25.3</v>
      </c>
      <c r="F191" s="13">
        <v>27.6</v>
      </c>
      <c r="G191" s="13">
        <v>27.4</v>
      </c>
      <c r="H191" s="34">
        <v>26.4</v>
      </c>
      <c r="I191" s="13">
        <v>29.2</v>
      </c>
      <c r="J191" s="13">
        <v>25</v>
      </c>
      <c r="K191" s="79" t="s">
        <v>9</v>
      </c>
      <c r="L191" s="20">
        <v>6.25</v>
      </c>
      <c r="M191" s="5"/>
      <c r="N191" s="13">
        <v>1009.9416666666667</v>
      </c>
      <c r="O191" s="8">
        <v>95.82455005835908</v>
      </c>
      <c r="P191" s="8">
        <v>81.600144514643247</v>
      </c>
      <c r="Q191" s="8">
        <v>83.00795942206976</v>
      </c>
      <c r="R191" s="8">
        <v>89.064301013357792</v>
      </c>
      <c r="S191" s="20">
        <v>4.375</v>
      </c>
      <c r="T191" s="6">
        <v>280</v>
      </c>
      <c r="U191" s="20">
        <v>9</v>
      </c>
      <c r="V191" s="12">
        <v>0</v>
      </c>
    </row>
    <row r="192" spans="1:22" s="53" customFormat="1" x14ac:dyDescent="0.35">
      <c r="A192" s="2">
        <v>42834</v>
      </c>
      <c r="B192" s="3">
        <f t="shared" si="12"/>
        <v>2017</v>
      </c>
      <c r="C192" s="3">
        <f t="shared" si="13"/>
        <v>4</v>
      </c>
      <c r="D192" s="3">
        <f t="shared" si="14"/>
        <v>9</v>
      </c>
      <c r="E192" s="13">
        <v>25</v>
      </c>
      <c r="F192" s="13">
        <v>31.4</v>
      </c>
      <c r="G192" s="13">
        <v>27.6</v>
      </c>
      <c r="H192" s="34">
        <v>27.25</v>
      </c>
      <c r="I192" s="13">
        <v>31.6</v>
      </c>
      <c r="J192" s="13">
        <v>25</v>
      </c>
      <c r="K192" s="79" t="s">
        <v>9</v>
      </c>
      <c r="L192" s="20">
        <v>83.75</v>
      </c>
      <c r="M192" s="5"/>
      <c r="N192" s="13">
        <v>1009.6541666666667</v>
      </c>
      <c r="O192" s="8">
        <v>94.962598537513514</v>
      </c>
      <c r="P192" s="8">
        <v>75.016227527734671</v>
      </c>
      <c r="Q192" s="8">
        <v>89.076786087498888</v>
      </c>
      <c r="R192" s="8">
        <v>88.50455267256514</v>
      </c>
      <c r="S192" s="20">
        <v>3.8666666666666667</v>
      </c>
      <c r="T192" s="6">
        <v>30</v>
      </c>
      <c r="U192" s="20">
        <v>11</v>
      </c>
      <c r="V192" s="12">
        <v>0</v>
      </c>
    </row>
    <row r="193" spans="1:22" s="53" customFormat="1" x14ac:dyDescent="0.35">
      <c r="A193" s="2">
        <v>42835</v>
      </c>
      <c r="B193" s="3">
        <f t="shared" si="12"/>
        <v>2017</v>
      </c>
      <c r="C193" s="3">
        <f t="shared" si="13"/>
        <v>4</v>
      </c>
      <c r="D193" s="3">
        <f t="shared" si="14"/>
        <v>10</v>
      </c>
      <c r="E193" s="13">
        <v>25.6</v>
      </c>
      <c r="F193" s="13">
        <v>31</v>
      </c>
      <c r="G193" s="13">
        <v>29.6</v>
      </c>
      <c r="H193" s="34">
        <v>27.950000000000003</v>
      </c>
      <c r="I193" s="13">
        <v>31.8</v>
      </c>
      <c r="J193" s="13">
        <v>25.6</v>
      </c>
      <c r="K193" s="79" t="s">
        <v>9</v>
      </c>
      <c r="L193" s="20">
        <v>96.25</v>
      </c>
      <c r="M193" s="5"/>
      <c r="N193" s="13">
        <v>1008.6875000000001</v>
      </c>
      <c r="O193" s="8">
        <v>95.032156358176863</v>
      </c>
      <c r="P193" s="8">
        <v>72.234894077080554</v>
      </c>
      <c r="Q193" s="8">
        <v>76.835110127050783</v>
      </c>
      <c r="R193" s="8">
        <v>84.783579230121262</v>
      </c>
      <c r="S193" s="20">
        <v>4.8666666666666663</v>
      </c>
      <c r="T193" s="6">
        <v>40</v>
      </c>
      <c r="U193" s="20">
        <v>10</v>
      </c>
      <c r="V193" s="12">
        <v>0</v>
      </c>
    </row>
    <row r="194" spans="1:22" s="53" customFormat="1" x14ac:dyDescent="0.35">
      <c r="A194" s="2">
        <v>42836</v>
      </c>
      <c r="B194" s="3">
        <f t="shared" si="12"/>
        <v>2017</v>
      </c>
      <c r="C194" s="3">
        <f t="shared" si="13"/>
        <v>4</v>
      </c>
      <c r="D194" s="3">
        <f t="shared" si="14"/>
        <v>11</v>
      </c>
      <c r="E194" s="13">
        <v>26.4</v>
      </c>
      <c r="F194" s="13">
        <v>30.6</v>
      </c>
      <c r="G194" s="13">
        <v>29.4</v>
      </c>
      <c r="H194" s="34">
        <v>28.200000000000003</v>
      </c>
      <c r="I194" s="13">
        <v>31.4</v>
      </c>
      <c r="J194" s="13">
        <v>25</v>
      </c>
      <c r="K194" s="79" t="s">
        <v>9</v>
      </c>
      <c r="L194" s="20">
        <v>100</v>
      </c>
      <c r="M194" s="5"/>
      <c r="N194" s="13">
        <v>1008.6374999999997</v>
      </c>
      <c r="O194" s="8">
        <v>90.350862251712044</v>
      </c>
      <c r="P194" s="8">
        <v>73.318625373475626</v>
      </c>
      <c r="Q194" s="8">
        <v>75.377411396500975</v>
      </c>
      <c r="R194" s="8">
        <v>82.349440318350176</v>
      </c>
      <c r="S194" s="20">
        <v>3.4444444444444446</v>
      </c>
      <c r="T194" s="6">
        <v>70</v>
      </c>
      <c r="U194" s="20">
        <v>6</v>
      </c>
      <c r="V194" s="12">
        <v>0</v>
      </c>
    </row>
    <row r="195" spans="1:22" s="53" customFormat="1" x14ac:dyDescent="0.35">
      <c r="A195" s="2">
        <v>42837</v>
      </c>
      <c r="B195" s="3">
        <f t="shared" si="12"/>
        <v>2017</v>
      </c>
      <c r="C195" s="3">
        <f t="shared" si="13"/>
        <v>4</v>
      </c>
      <c r="D195" s="3">
        <f t="shared" si="14"/>
        <v>12</v>
      </c>
      <c r="E195" s="13">
        <v>25.2</v>
      </c>
      <c r="F195" s="13">
        <v>31.4</v>
      </c>
      <c r="G195" s="13">
        <v>29.2</v>
      </c>
      <c r="H195" s="34">
        <v>27.75</v>
      </c>
      <c r="I195" s="13">
        <v>31.6</v>
      </c>
      <c r="J195" s="13">
        <v>24.7</v>
      </c>
      <c r="K195" s="79">
        <v>17.600000000000001</v>
      </c>
      <c r="L195" s="20">
        <v>100</v>
      </c>
      <c r="M195" s="5"/>
      <c r="N195" s="13">
        <v>1009.4375</v>
      </c>
      <c r="O195" s="8">
        <v>93.340609889540417</v>
      </c>
      <c r="P195" s="8">
        <v>67.410870000901625</v>
      </c>
      <c r="Q195" s="8">
        <v>73.906910055593116</v>
      </c>
      <c r="R195" s="8">
        <v>81.999749958893901</v>
      </c>
      <c r="S195" s="20">
        <v>3.75</v>
      </c>
      <c r="T195" s="6">
        <v>190</v>
      </c>
      <c r="U195" s="20">
        <v>9</v>
      </c>
      <c r="V195" s="12">
        <v>0</v>
      </c>
    </row>
    <row r="196" spans="1:22" s="53" customFormat="1" x14ac:dyDescent="0.35">
      <c r="A196" s="2">
        <v>42838</v>
      </c>
      <c r="B196" s="3">
        <f t="shared" si="12"/>
        <v>2017</v>
      </c>
      <c r="C196" s="3">
        <f t="shared" si="13"/>
        <v>4</v>
      </c>
      <c r="D196" s="3">
        <f t="shared" si="14"/>
        <v>13</v>
      </c>
      <c r="E196" s="13">
        <v>25.4</v>
      </c>
      <c r="F196" s="13">
        <v>30.8</v>
      </c>
      <c r="G196" s="13">
        <v>29.4</v>
      </c>
      <c r="H196" s="34">
        <v>27.75</v>
      </c>
      <c r="I196" s="13">
        <v>31.6</v>
      </c>
      <c r="J196" s="13">
        <v>24.5</v>
      </c>
      <c r="K196" s="79" t="s">
        <v>9</v>
      </c>
      <c r="L196" s="20">
        <v>70</v>
      </c>
      <c r="M196" s="5"/>
      <c r="N196" s="13">
        <v>1010.0083333333336</v>
      </c>
      <c r="O196" s="8">
        <v>96.660631681328439</v>
      </c>
      <c r="P196" s="8">
        <v>69.548355901397656</v>
      </c>
      <c r="Q196" s="8">
        <v>74.010642748961359</v>
      </c>
      <c r="R196" s="8">
        <v>84.220065503253977</v>
      </c>
      <c r="S196" s="20">
        <v>3.2941176470588234</v>
      </c>
      <c r="T196" s="6">
        <v>50</v>
      </c>
      <c r="U196" s="20">
        <v>8</v>
      </c>
      <c r="V196" s="12">
        <v>0</v>
      </c>
    </row>
    <row r="197" spans="1:22" s="53" customFormat="1" x14ac:dyDescent="0.35">
      <c r="A197" s="2">
        <v>42839</v>
      </c>
      <c r="B197" s="3">
        <f t="shared" si="12"/>
        <v>2017</v>
      </c>
      <c r="C197" s="3">
        <f t="shared" si="13"/>
        <v>4</v>
      </c>
      <c r="D197" s="3">
        <f t="shared" si="14"/>
        <v>14</v>
      </c>
      <c r="E197" s="13">
        <v>26</v>
      </c>
      <c r="F197" s="13">
        <v>29.7</v>
      </c>
      <c r="G197" s="13">
        <v>28.3</v>
      </c>
      <c r="H197" s="34">
        <v>27.5</v>
      </c>
      <c r="I197" s="13">
        <v>30</v>
      </c>
      <c r="J197" s="13">
        <v>24.6</v>
      </c>
      <c r="K197" s="79" t="s">
        <v>9</v>
      </c>
      <c r="L197" s="20">
        <v>18.75</v>
      </c>
      <c r="M197" s="5"/>
      <c r="N197" s="13">
        <v>1010.3333333333331</v>
      </c>
      <c r="O197" s="8">
        <v>91.851980237806558</v>
      </c>
      <c r="P197" s="8">
        <v>75.501693766714766</v>
      </c>
      <c r="Q197" s="8">
        <v>80.439747029302765</v>
      </c>
      <c r="R197" s="8">
        <v>84.911350317907676</v>
      </c>
      <c r="S197" s="20">
        <v>3.2</v>
      </c>
      <c r="T197" s="6">
        <v>30</v>
      </c>
      <c r="U197" s="20">
        <v>7</v>
      </c>
      <c r="V197" s="12">
        <v>0</v>
      </c>
    </row>
    <row r="198" spans="1:22" s="53" customFormat="1" x14ac:dyDescent="0.35">
      <c r="A198" s="2">
        <v>42840</v>
      </c>
      <c r="B198" s="3">
        <f t="shared" si="12"/>
        <v>2017</v>
      </c>
      <c r="C198" s="3">
        <f t="shared" si="13"/>
        <v>4</v>
      </c>
      <c r="D198" s="3">
        <f t="shared" si="14"/>
        <v>15</v>
      </c>
      <c r="E198" s="13">
        <v>24.6</v>
      </c>
      <c r="F198" s="13">
        <v>31.2</v>
      </c>
      <c r="G198" s="13">
        <v>29.4</v>
      </c>
      <c r="H198" s="34">
        <v>27.450000000000003</v>
      </c>
      <c r="I198" s="13">
        <v>31.2</v>
      </c>
      <c r="J198" s="13">
        <v>24</v>
      </c>
      <c r="K198" s="83" t="s">
        <v>9</v>
      </c>
      <c r="L198" s="20">
        <v>93.75</v>
      </c>
      <c r="M198" s="5"/>
      <c r="N198" s="13">
        <v>1009.3874999999999</v>
      </c>
      <c r="O198" s="8">
        <v>88.304394370779363</v>
      </c>
      <c r="P198" s="8">
        <v>64.813279345893136</v>
      </c>
      <c r="Q198" s="8">
        <v>74.013433704007198</v>
      </c>
      <c r="R198" s="8">
        <v>78.858875447864762</v>
      </c>
      <c r="S198" s="20">
        <v>8.1904761904761898</v>
      </c>
      <c r="T198" s="6">
        <v>210</v>
      </c>
      <c r="U198" s="20">
        <v>99</v>
      </c>
      <c r="V198" s="12">
        <v>0</v>
      </c>
    </row>
    <row r="199" spans="1:22" s="53" customFormat="1" x14ac:dyDescent="0.35">
      <c r="A199" s="2">
        <v>42841</v>
      </c>
      <c r="B199" s="3">
        <f t="shared" si="12"/>
        <v>2017</v>
      </c>
      <c r="C199" s="3">
        <f t="shared" si="13"/>
        <v>4</v>
      </c>
      <c r="D199" s="3">
        <f t="shared" si="14"/>
        <v>16</v>
      </c>
      <c r="E199" s="13">
        <v>24.4</v>
      </c>
      <c r="F199" s="13">
        <v>31</v>
      </c>
      <c r="G199" s="13">
        <v>30</v>
      </c>
      <c r="H199" s="34">
        <v>27.45</v>
      </c>
      <c r="I199" s="13">
        <v>31.6</v>
      </c>
      <c r="J199" s="13">
        <v>24.4</v>
      </c>
      <c r="K199" s="79">
        <v>5</v>
      </c>
      <c r="L199" s="20">
        <v>100</v>
      </c>
      <c r="M199" s="5"/>
      <c r="N199" s="13">
        <v>1009.4416666666667</v>
      </c>
      <c r="O199" s="8">
        <v>86.620864457006846</v>
      </c>
      <c r="P199" s="8">
        <v>67.158637002446838</v>
      </c>
      <c r="Q199" s="8">
        <v>71.682628223356033</v>
      </c>
      <c r="R199" s="8">
        <v>78.020748534954151</v>
      </c>
      <c r="S199" s="20">
        <v>3.736842105263158</v>
      </c>
      <c r="T199" s="6">
        <v>90</v>
      </c>
      <c r="U199" s="20">
        <v>8</v>
      </c>
      <c r="V199" s="12">
        <v>0</v>
      </c>
    </row>
    <row r="200" spans="1:22" s="53" customFormat="1" x14ac:dyDescent="0.35">
      <c r="A200" s="2">
        <v>42842</v>
      </c>
      <c r="B200" s="3">
        <f t="shared" si="12"/>
        <v>2017</v>
      </c>
      <c r="C200" s="3">
        <f t="shared" si="13"/>
        <v>4</v>
      </c>
      <c r="D200" s="3">
        <f t="shared" si="14"/>
        <v>17</v>
      </c>
      <c r="E200" s="13">
        <v>25.2</v>
      </c>
      <c r="F200" s="13">
        <v>30.8</v>
      </c>
      <c r="G200" s="13">
        <v>29.2</v>
      </c>
      <c r="H200" s="34">
        <v>27.6</v>
      </c>
      <c r="I200" s="13">
        <v>31.2</v>
      </c>
      <c r="J200" s="13">
        <v>25.2</v>
      </c>
      <c r="K200" s="79" t="s">
        <v>9</v>
      </c>
      <c r="L200" s="20">
        <v>100</v>
      </c>
      <c r="M200" s="5"/>
      <c r="N200" s="13">
        <v>1009.7583333333333</v>
      </c>
      <c r="O200" s="8">
        <v>96.644971179663798</v>
      </c>
      <c r="P200" s="8">
        <v>72.112769536661403</v>
      </c>
      <c r="Q200" s="8">
        <v>76.635861777672517</v>
      </c>
      <c r="R200" s="8">
        <v>85.509643418415379</v>
      </c>
      <c r="S200" s="20">
        <v>4.3076923076923075</v>
      </c>
      <c r="T200" s="6">
        <v>330</v>
      </c>
      <c r="U200" s="20">
        <v>10</v>
      </c>
      <c r="V200" s="12">
        <v>0</v>
      </c>
    </row>
    <row r="201" spans="1:22" s="53" customFormat="1" x14ac:dyDescent="0.35">
      <c r="A201" s="2">
        <v>42843</v>
      </c>
      <c r="B201" s="3">
        <f t="shared" si="12"/>
        <v>2017</v>
      </c>
      <c r="C201" s="3">
        <f t="shared" si="13"/>
        <v>4</v>
      </c>
      <c r="D201" s="3">
        <f t="shared" si="14"/>
        <v>18</v>
      </c>
      <c r="E201" s="13">
        <v>25.4</v>
      </c>
      <c r="F201" s="13">
        <v>30.8</v>
      </c>
      <c r="G201" s="13">
        <v>29.6</v>
      </c>
      <c r="H201" s="34">
        <v>27.799999999999997</v>
      </c>
      <c r="I201" s="13">
        <v>31.4</v>
      </c>
      <c r="J201" s="13">
        <v>25</v>
      </c>
      <c r="K201" s="79" t="s">
        <v>9</v>
      </c>
      <c r="L201" s="20">
        <v>90</v>
      </c>
      <c r="M201" s="5"/>
      <c r="N201" s="13">
        <v>1010.3916666666665</v>
      </c>
      <c r="O201" s="8">
        <v>96.660043905850927</v>
      </c>
      <c r="P201" s="8">
        <v>73.411503108370113</v>
      </c>
      <c r="Q201" s="8">
        <v>76.824074111929377</v>
      </c>
      <c r="R201" s="8">
        <v>85.888916258000336</v>
      </c>
      <c r="S201" s="20">
        <v>5.3</v>
      </c>
      <c r="T201" s="6">
        <v>340</v>
      </c>
      <c r="U201" s="20">
        <v>9</v>
      </c>
      <c r="V201" s="12">
        <v>0</v>
      </c>
    </row>
    <row r="202" spans="1:22" s="53" customFormat="1" x14ac:dyDescent="0.35">
      <c r="A202" s="2">
        <v>42844</v>
      </c>
      <c r="B202" s="3">
        <f t="shared" si="12"/>
        <v>2017</v>
      </c>
      <c r="C202" s="3">
        <f t="shared" si="13"/>
        <v>4</v>
      </c>
      <c r="D202" s="3">
        <f t="shared" si="14"/>
        <v>19</v>
      </c>
      <c r="E202" s="13">
        <v>25</v>
      </c>
      <c r="F202" s="13">
        <v>31.2</v>
      </c>
      <c r="G202" s="13">
        <v>29.6</v>
      </c>
      <c r="H202" s="34">
        <v>27.700000000000003</v>
      </c>
      <c r="I202" s="13">
        <v>31.8</v>
      </c>
      <c r="J202" s="13">
        <v>24</v>
      </c>
      <c r="K202" s="79" t="s">
        <v>9</v>
      </c>
      <c r="L202" s="20">
        <v>68.75</v>
      </c>
      <c r="M202" s="5"/>
      <c r="N202" s="13">
        <v>1011.2624999999999</v>
      </c>
      <c r="O202" s="8">
        <v>94.961695648940506</v>
      </c>
      <c r="P202" s="8">
        <v>68.516647159562694</v>
      </c>
      <c r="Q202" s="8">
        <v>78.18480580402138</v>
      </c>
      <c r="R202" s="8">
        <v>84.156211065366278</v>
      </c>
      <c r="S202" s="20">
        <v>3.9523809523809526</v>
      </c>
      <c r="T202" s="6">
        <v>190</v>
      </c>
      <c r="U202" s="37">
        <v>7</v>
      </c>
      <c r="V202" s="33">
        <v>0</v>
      </c>
    </row>
    <row r="203" spans="1:22" s="53" customFormat="1" x14ac:dyDescent="0.35">
      <c r="A203" s="2">
        <v>42845</v>
      </c>
      <c r="B203" s="3">
        <f t="shared" si="12"/>
        <v>2017</v>
      </c>
      <c r="C203" s="3">
        <f t="shared" si="13"/>
        <v>4</v>
      </c>
      <c r="D203" s="3">
        <f t="shared" si="14"/>
        <v>20</v>
      </c>
      <c r="E203" s="13">
        <v>25.2</v>
      </c>
      <c r="F203" s="13">
        <v>30.6</v>
      </c>
      <c r="G203" s="13">
        <v>29.4</v>
      </c>
      <c r="H203" s="34">
        <v>27.6</v>
      </c>
      <c r="I203" s="13">
        <v>31.4</v>
      </c>
      <c r="J203" s="13">
        <v>25.2</v>
      </c>
      <c r="K203" s="79">
        <v>12.8</v>
      </c>
      <c r="L203" s="20">
        <v>100</v>
      </c>
      <c r="M203" s="5"/>
      <c r="N203" s="13">
        <v>1010.5541666666664</v>
      </c>
      <c r="O203" s="8">
        <v>90.075960248483327</v>
      </c>
      <c r="P203" s="8">
        <v>73.304187542267499</v>
      </c>
      <c r="Q203" s="8">
        <v>80.883416484173026</v>
      </c>
      <c r="R203" s="8">
        <v>83.584881130851798</v>
      </c>
      <c r="S203" s="20">
        <v>3.8421052631578947</v>
      </c>
      <c r="T203" s="6">
        <v>80</v>
      </c>
      <c r="U203" s="20">
        <v>9</v>
      </c>
      <c r="V203" s="12">
        <v>0</v>
      </c>
    </row>
    <row r="204" spans="1:22" s="53" customFormat="1" x14ac:dyDescent="0.35">
      <c r="A204" s="2">
        <v>42846</v>
      </c>
      <c r="B204" s="3">
        <f t="shared" si="12"/>
        <v>2017</v>
      </c>
      <c r="C204" s="3">
        <f t="shared" si="13"/>
        <v>4</v>
      </c>
      <c r="D204" s="3">
        <f t="shared" si="14"/>
        <v>21</v>
      </c>
      <c r="E204" s="13">
        <v>26</v>
      </c>
      <c r="F204" s="13">
        <v>31.2</v>
      </c>
      <c r="G204" s="13">
        <v>30</v>
      </c>
      <c r="H204" s="34">
        <v>28.3</v>
      </c>
      <c r="I204" s="13">
        <v>32</v>
      </c>
      <c r="J204" s="13">
        <v>24.2</v>
      </c>
      <c r="K204" s="79">
        <v>1.4</v>
      </c>
      <c r="L204" s="20">
        <v>87.5</v>
      </c>
      <c r="M204" s="5"/>
      <c r="N204" s="13">
        <v>1010.4208333333331</v>
      </c>
      <c r="O204" s="8">
        <v>93.456336546651315</v>
      </c>
      <c r="P204" s="8">
        <v>72.331852397224665</v>
      </c>
      <c r="Q204" s="8">
        <v>70.35968780687125</v>
      </c>
      <c r="R204" s="8">
        <v>82.401053324349633</v>
      </c>
      <c r="S204" s="20">
        <v>3.6842105263157894</v>
      </c>
      <c r="T204" s="6">
        <v>230</v>
      </c>
      <c r="U204" s="20">
        <v>7</v>
      </c>
      <c r="V204" s="12">
        <v>0</v>
      </c>
    </row>
    <row r="205" spans="1:22" s="53" customFormat="1" x14ac:dyDescent="0.35">
      <c r="A205" s="2">
        <v>42847</v>
      </c>
      <c r="B205" s="3">
        <f t="shared" si="12"/>
        <v>2017</v>
      </c>
      <c r="C205" s="3">
        <f t="shared" si="13"/>
        <v>4</v>
      </c>
      <c r="D205" s="3">
        <f t="shared" si="14"/>
        <v>22</v>
      </c>
      <c r="E205" s="13">
        <v>24.8</v>
      </c>
      <c r="F205" s="13">
        <v>31.6</v>
      </c>
      <c r="G205" s="13">
        <v>28.6</v>
      </c>
      <c r="H205" s="34">
        <v>27.450000000000003</v>
      </c>
      <c r="I205" s="13">
        <v>32</v>
      </c>
      <c r="J205" s="13">
        <v>24.6</v>
      </c>
      <c r="K205" s="79" t="s">
        <v>9</v>
      </c>
      <c r="L205" s="20">
        <v>85</v>
      </c>
      <c r="M205" s="5"/>
      <c r="N205" s="13">
        <v>1010.5500000000002</v>
      </c>
      <c r="O205" s="8">
        <v>94.938644310125923</v>
      </c>
      <c r="P205" s="8">
        <v>67.531016658120564</v>
      </c>
      <c r="Q205" s="8">
        <v>81.995086834873675</v>
      </c>
      <c r="R205" s="8">
        <v>84.850848028311518</v>
      </c>
      <c r="S205" s="20">
        <v>4.7333333333333334</v>
      </c>
      <c r="T205" s="6">
        <v>60</v>
      </c>
      <c r="U205" s="20">
        <v>10</v>
      </c>
      <c r="V205" s="12">
        <v>0</v>
      </c>
    </row>
    <row r="206" spans="1:22" s="53" customFormat="1" x14ac:dyDescent="0.35">
      <c r="A206" s="2">
        <v>42848</v>
      </c>
      <c r="B206" s="3">
        <f t="shared" si="12"/>
        <v>2017</v>
      </c>
      <c r="C206" s="3">
        <f t="shared" si="13"/>
        <v>4</v>
      </c>
      <c r="D206" s="3">
        <f t="shared" si="14"/>
        <v>23</v>
      </c>
      <c r="E206" s="13">
        <v>25</v>
      </c>
      <c r="F206" s="13">
        <v>31.4</v>
      </c>
      <c r="G206" s="13">
        <v>28</v>
      </c>
      <c r="H206" s="34">
        <v>27.35</v>
      </c>
      <c r="I206" s="13">
        <v>32</v>
      </c>
      <c r="J206" s="13">
        <v>23.8</v>
      </c>
      <c r="K206" s="79" t="s">
        <v>9</v>
      </c>
      <c r="L206" s="20">
        <v>100</v>
      </c>
      <c r="M206" s="5"/>
      <c r="N206" s="13">
        <v>1011.1208333333333</v>
      </c>
      <c r="O206" s="8">
        <v>96.628935262444486</v>
      </c>
      <c r="P206" s="8">
        <v>68.648572193795616</v>
      </c>
      <c r="Q206" s="8">
        <v>86.169868977997822</v>
      </c>
      <c r="R206" s="8">
        <v>87.019077924170603</v>
      </c>
      <c r="S206" s="20">
        <v>4.7777777777777777</v>
      </c>
      <c r="T206" s="6">
        <v>210</v>
      </c>
      <c r="U206" s="20">
        <v>12</v>
      </c>
      <c r="V206" s="12">
        <v>0</v>
      </c>
    </row>
    <row r="207" spans="1:22" s="53" customFormat="1" x14ac:dyDescent="0.35">
      <c r="A207" s="2">
        <v>42849</v>
      </c>
      <c r="B207" s="3">
        <f t="shared" si="12"/>
        <v>2017</v>
      </c>
      <c r="C207" s="3">
        <f t="shared" si="13"/>
        <v>4</v>
      </c>
      <c r="D207" s="3">
        <f t="shared" si="14"/>
        <v>24</v>
      </c>
      <c r="E207" s="13">
        <v>24.4</v>
      </c>
      <c r="F207" s="13">
        <v>31</v>
      </c>
      <c r="G207" s="13">
        <v>30</v>
      </c>
      <c r="H207" s="34">
        <v>27.45</v>
      </c>
      <c r="I207" s="13">
        <v>31.8</v>
      </c>
      <c r="J207" s="13">
        <v>23.8</v>
      </c>
      <c r="K207" s="79" t="s">
        <v>9</v>
      </c>
      <c r="L207" s="20">
        <v>100</v>
      </c>
      <c r="M207" s="5"/>
      <c r="N207" s="13">
        <v>1010.5999999999999</v>
      </c>
      <c r="O207" s="8">
        <v>96.580763586725453</v>
      </c>
      <c r="P207" s="8">
        <v>68.399527997127905</v>
      </c>
      <c r="Q207" s="8">
        <v>75.658942025996083</v>
      </c>
      <c r="R207" s="8">
        <v>84.304999299143731</v>
      </c>
      <c r="S207" s="20">
        <v>3.5333333333333332</v>
      </c>
      <c r="T207" s="6">
        <v>30</v>
      </c>
      <c r="U207" s="20">
        <v>5</v>
      </c>
      <c r="V207" s="12">
        <v>0</v>
      </c>
    </row>
    <row r="208" spans="1:22" s="53" customFormat="1" x14ac:dyDescent="0.35">
      <c r="A208" s="2">
        <v>42850</v>
      </c>
      <c r="B208" s="3">
        <f t="shared" si="12"/>
        <v>2017</v>
      </c>
      <c r="C208" s="3">
        <f t="shared" si="13"/>
        <v>4</v>
      </c>
      <c r="D208" s="3">
        <f t="shared" si="14"/>
        <v>25</v>
      </c>
      <c r="E208" s="13">
        <v>24.7</v>
      </c>
      <c r="F208" s="13">
        <v>31.4</v>
      </c>
      <c r="G208" s="13">
        <v>30.2</v>
      </c>
      <c r="H208" s="34">
        <v>27.75</v>
      </c>
      <c r="I208" s="13">
        <v>31.4</v>
      </c>
      <c r="J208" s="13">
        <v>24.7</v>
      </c>
      <c r="K208" s="79">
        <v>0</v>
      </c>
      <c r="L208" s="20">
        <v>100</v>
      </c>
      <c r="M208" s="5"/>
      <c r="N208" s="13">
        <v>1010.4249999999998</v>
      </c>
      <c r="O208" s="8">
        <v>93.259477590043105</v>
      </c>
      <c r="P208" s="8">
        <v>68.644596181579985</v>
      </c>
      <c r="Q208" s="8">
        <v>71.786731726076837</v>
      </c>
      <c r="R208" s="8">
        <v>81.737570771935751</v>
      </c>
      <c r="S208" s="20">
        <v>3.5416666666666665</v>
      </c>
      <c r="T208" s="6">
        <v>170</v>
      </c>
      <c r="U208" s="20">
        <v>7</v>
      </c>
      <c r="V208" s="12">
        <v>0</v>
      </c>
    </row>
    <row r="209" spans="1:22" s="53" customFormat="1" x14ac:dyDescent="0.35">
      <c r="A209" s="2">
        <v>42851</v>
      </c>
      <c r="B209" s="3">
        <f t="shared" si="12"/>
        <v>2017</v>
      </c>
      <c r="C209" s="3">
        <f t="shared" si="13"/>
        <v>4</v>
      </c>
      <c r="D209" s="3">
        <f t="shared" si="14"/>
        <v>26</v>
      </c>
      <c r="E209" s="13">
        <v>24.8</v>
      </c>
      <c r="F209" s="13">
        <v>30.6</v>
      </c>
      <c r="G209" s="13">
        <v>30</v>
      </c>
      <c r="H209" s="34">
        <v>27.55</v>
      </c>
      <c r="I209" s="13">
        <v>31.8</v>
      </c>
      <c r="J209" s="13">
        <v>23.8</v>
      </c>
      <c r="K209" s="79">
        <v>0.8</v>
      </c>
      <c r="L209" s="20">
        <v>100</v>
      </c>
      <c r="M209" s="5"/>
      <c r="N209" s="13">
        <v>1010.2916666666669</v>
      </c>
      <c r="O209" s="8">
        <v>94.938796596290516</v>
      </c>
      <c r="P209" s="8">
        <v>70.710813413779022</v>
      </c>
      <c r="Q209" s="8">
        <v>70.36676568305154</v>
      </c>
      <c r="R209" s="8">
        <v>82.738793072352905</v>
      </c>
      <c r="S209" s="20">
        <v>4.1500000000000004</v>
      </c>
      <c r="T209" s="6">
        <v>180</v>
      </c>
      <c r="U209" s="20">
        <v>8</v>
      </c>
      <c r="V209" s="12">
        <v>0</v>
      </c>
    </row>
    <row r="210" spans="1:22" s="53" customFormat="1" x14ac:dyDescent="0.35">
      <c r="A210" s="2">
        <v>42852</v>
      </c>
      <c r="B210" s="3">
        <f t="shared" si="12"/>
        <v>2017</v>
      </c>
      <c r="C210" s="3">
        <f t="shared" si="13"/>
        <v>4</v>
      </c>
      <c r="D210" s="3">
        <f t="shared" si="14"/>
        <v>27</v>
      </c>
      <c r="E210" s="13">
        <v>24.6</v>
      </c>
      <c r="F210" s="13">
        <v>31.2</v>
      </c>
      <c r="G210" s="13">
        <v>30</v>
      </c>
      <c r="H210" s="34">
        <v>27.6</v>
      </c>
      <c r="I210" s="13">
        <v>31.8</v>
      </c>
      <c r="J210" s="13">
        <v>23.6</v>
      </c>
      <c r="K210" s="79" t="s">
        <v>9</v>
      </c>
      <c r="L210" s="20">
        <v>66.25</v>
      </c>
      <c r="M210" s="5"/>
      <c r="N210" s="13">
        <v>1010.4999999999999</v>
      </c>
      <c r="O210" s="8">
        <v>94.915345191725976</v>
      </c>
      <c r="P210" s="8">
        <v>63.583230358069464</v>
      </c>
      <c r="Q210" s="8">
        <v>69.067210512643356</v>
      </c>
      <c r="R210" s="8">
        <v>80.620282813541195</v>
      </c>
      <c r="S210" s="20">
        <v>3.736842105263158</v>
      </c>
      <c r="T210" s="6">
        <v>190</v>
      </c>
      <c r="U210" s="20">
        <v>7</v>
      </c>
      <c r="V210" s="12">
        <v>0</v>
      </c>
    </row>
    <row r="211" spans="1:22" s="53" customFormat="1" x14ac:dyDescent="0.35">
      <c r="A211" s="2">
        <v>42853</v>
      </c>
      <c r="B211" s="3">
        <f t="shared" si="12"/>
        <v>2017</v>
      </c>
      <c r="C211" s="3">
        <f t="shared" si="13"/>
        <v>4</v>
      </c>
      <c r="D211" s="3">
        <f t="shared" si="14"/>
        <v>28</v>
      </c>
      <c r="E211" s="13">
        <v>24.1</v>
      </c>
      <c r="F211" s="13">
        <v>31.4</v>
      </c>
      <c r="G211" s="13">
        <v>30</v>
      </c>
      <c r="H211" s="34">
        <v>27.4</v>
      </c>
      <c r="I211" s="13">
        <v>31.8</v>
      </c>
      <c r="J211" s="13">
        <v>24.1</v>
      </c>
      <c r="K211" s="79" t="s">
        <v>9</v>
      </c>
      <c r="L211" s="20">
        <v>100</v>
      </c>
      <c r="M211" s="5"/>
      <c r="N211" s="13">
        <v>1010.7416666666667</v>
      </c>
      <c r="O211" s="8">
        <v>95.703687215548044</v>
      </c>
      <c r="P211" s="8">
        <v>64.938614982675702</v>
      </c>
      <c r="Q211" s="8">
        <v>69.063914993575281</v>
      </c>
      <c r="R211" s="8">
        <v>81.352476101836771</v>
      </c>
      <c r="S211" s="20">
        <v>3.5</v>
      </c>
      <c r="T211" s="6">
        <v>180</v>
      </c>
      <c r="U211" s="20">
        <v>7</v>
      </c>
      <c r="V211" s="12">
        <v>0</v>
      </c>
    </row>
    <row r="212" spans="1:22" s="53" customFormat="1" x14ac:dyDescent="0.35">
      <c r="A212" s="2">
        <v>42854</v>
      </c>
      <c r="B212" s="3">
        <f t="shared" si="12"/>
        <v>2017</v>
      </c>
      <c r="C212" s="3">
        <f t="shared" si="13"/>
        <v>4</v>
      </c>
      <c r="D212" s="3">
        <f t="shared" si="14"/>
        <v>29</v>
      </c>
      <c r="E212" s="13">
        <v>25</v>
      </c>
      <c r="F212" s="13">
        <v>31.4</v>
      </c>
      <c r="G212" s="13">
        <v>30.3</v>
      </c>
      <c r="H212" s="34">
        <v>27.925000000000001</v>
      </c>
      <c r="I212" s="13">
        <v>32</v>
      </c>
      <c r="J212" s="13">
        <v>24.8</v>
      </c>
      <c r="K212" s="79" t="s">
        <v>9</v>
      </c>
      <c r="L212" s="20">
        <v>100</v>
      </c>
      <c r="M212" s="5"/>
      <c r="N212" s="13">
        <v>1011.2791666666664</v>
      </c>
      <c r="O212" s="8">
        <v>91.662517425903104</v>
      </c>
      <c r="P212" s="8">
        <v>62.505626032222963</v>
      </c>
      <c r="Q212" s="8">
        <v>64.16663197806065</v>
      </c>
      <c r="R212" s="8">
        <v>77.499323215522452</v>
      </c>
      <c r="S212" s="20">
        <v>3.9375</v>
      </c>
      <c r="T212" s="6">
        <v>40</v>
      </c>
      <c r="U212" s="20">
        <v>8</v>
      </c>
      <c r="V212" s="12">
        <v>0</v>
      </c>
    </row>
    <row r="213" spans="1:22" s="53" customFormat="1" x14ac:dyDescent="0.35">
      <c r="A213" s="2">
        <v>42855</v>
      </c>
      <c r="B213" s="3">
        <f t="shared" si="12"/>
        <v>2017</v>
      </c>
      <c r="C213" s="3">
        <f t="shared" si="13"/>
        <v>4</v>
      </c>
      <c r="D213" s="3">
        <f t="shared" si="14"/>
        <v>30</v>
      </c>
      <c r="E213" s="13">
        <v>25.2</v>
      </c>
      <c r="F213" s="13">
        <v>31.4</v>
      </c>
      <c r="G213" s="13">
        <v>29.8</v>
      </c>
      <c r="H213" s="34">
        <v>27.9</v>
      </c>
      <c r="I213" s="13">
        <v>31.8</v>
      </c>
      <c r="J213" s="13">
        <v>0</v>
      </c>
      <c r="K213" s="79" t="s">
        <v>9</v>
      </c>
      <c r="L213" s="20">
        <v>0</v>
      </c>
      <c r="M213" s="5"/>
      <c r="N213" s="13">
        <v>1011.2750000000001</v>
      </c>
      <c r="O213" s="8">
        <v>88.462132900368289</v>
      </c>
      <c r="P213" s="8">
        <v>67.397593577503358</v>
      </c>
      <c r="Q213" s="8">
        <v>70.238390707972954</v>
      </c>
      <c r="R213" s="8">
        <v>78.640062521553219</v>
      </c>
      <c r="S213" s="20">
        <v>5.166666666666667</v>
      </c>
      <c r="T213" s="6">
        <v>30</v>
      </c>
      <c r="U213" s="20">
        <v>11</v>
      </c>
      <c r="V213" s="12">
        <v>0</v>
      </c>
    </row>
    <row r="214" spans="1:22" s="53" customFormat="1" x14ac:dyDescent="0.35">
      <c r="A214" s="2">
        <v>42856</v>
      </c>
      <c r="B214" s="3">
        <f t="shared" si="12"/>
        <v>2017</v>
      </c>
      <c r="C214" s="3">
        <f t="shared" si="13"/>
        <v>5</v>
      </c>
      <c r="D214" s="3">
        <f t="shared" si="14"/>
        <v>1</v>
      </c>
      <c r="E214" s="23">
        <v>27</v>
      </c>
      <c r="F214" s="23">
        <v>31</v>
      </c>
      <c r="G214" s="23">
        <v>28.4</v>
      </c>
      <c r="H214" s="34">
        <v>28.35</v>
      </c>
      <c r="I214" s="23">
        <v>32</v>
      </c>
      <c r="J214" s="23">
        <v>24</v>
      </c>
      <c r="K214" s="25" t="s">
        <v>9</v>
      </c>
      <c r="L214" s="25">
        <v>78.75</v>
      </c>
      <c r="M214" s="5"/>
      <c r="N214" s="13">
        <v>1010.6541666666667</v>
      </c>
      <c r="O214" s="8">
        <v>100</v>
      </c>
      <c r="P214" s="8">
        <v>69.664900865368438</v>
      </c>
      <c r="Q214" s="8">
        <v>83.360219043063864</v>
      </c>
      <c r="R214" s="8">
        <v>88.256279977108079</v>
      </c>
      <c r="S214" s="20">
        <v>4.4666666666666668</v>
      </c>
      <c r="T214" s="6">
        <v>150</v>
      </c>
      <c r="U214" s="20">
        <v>9</v>
      </c>
      <c r="V214" s="12">
        <v>0</v>
      </c>
    </row>
    <row r="215" spans="1:22" s="53" customFormat="1" x14ac:dyDescent="0.35">
      <c r="A215" s="2">
        <v>42857</v>
      </c>
      <c r="B215" s="3">
        <f t="shared" si="12"/>
        <v>2017</v>
      </c>
      <c r="C215" s="3">
        <f t="shared" si="13"/>
        <v>5</v>
      </c>
      <c r="D215" s="3">
        <f t="shared" si="14"/>
        <v>2</v>
      </c>
      <c r="E215" s="23">
        <v>25.6</v>
      </c>
      <c r="F215" s="23">
        <v>32.200000000000003</v>
      </c>
      <c r="G215" s="23">
        <v>30.6</v>
      </c>
      <c r="H215" s="34">
        <v>28.5</v>
      </c>
      <c r="I215" s="23">
        <v>32.799999999999997</v>
      </c>
      <c r="J215" s="23">
        <v>25.6</v>
      </c>
      <c r="K215" s="25">
        <v>0.2</v>
      </c>
      <c r="L215" s="25">
        <v>80</v>
      </c>
      <c r="M215" s="5"/>
      <c r="N215" s="13">
        <v>1010.4541666666665</v>
      </c>
      <c r="O215" s="8">
        <v>86.985994449052384</v>
      </c>
      <c r="P215" s="8">
        <v>65.478750908883285</v>
      </c>
      <c r="Q215" s="8">
        <v>72.01239532636275</v>
      </c>
      <c r="R215" s="8">
        <v>77.865783783337704</v>
      </c>
      <c r="S215" s="20">
        <v>3.7391304347826089</v>
      </c>
      <c r="T215" s="6">
        <v>190</v>
      </c>
      <c r="U215" s="20">
        <v>6</v>
      </c>
      <c r="V215" s="12">
        <v>0</v>
      </c>
    </row>
    <row r="216" spans="1:22" s="53" customFormat="1" x14ac:dyDescent="0.35">
      <c r="A216" s="2">
        <v>42858</v>
      </c>
      <c r="B216" s="3">
        <f t="shared" ref="B216:B279" si="15">YEAR(A216)</f>
        <v>2017</v>
      </c>
      <c r="C216" s="3">
        <f t="shared" ref="C216:C279" si="16">MONTH(A216)</f>
        <v>5</v>
      </c>
      <c r="D216" s="3">
        <f t="shared" ref="D216:D279" si="17">DAY(A216)</f>
        <v>3</v>
      </c>
      <c r="E216" s="23">
        <v>26.2</v>
      </c>
      <c r="F216" s="23">
        <v>29.3</v>
      </c>
      <c r="G216" s="23">
        <v>28.6</v>
      </c>
      <c r="H216" s="34">
        <v>27.575000000000003</v>
      </c>
      <c r="I216" s="23">
        <v>30.2</v>
      </c>
      <c r="J216" s="23">
        <v>25.4</v>
      </c>
      <c r="K216" s="25" t="s">
        <v>9</v>
      </c>
      <c r="L216" s="25">
        <v>12.5</v>
      </c>
      <c r="M216" s="5"/>
      <c r="N216" s="13">
        <v>1011.0291666666667</v>
      </c>
      <c r="O216" s="8">
        <v>95.096952608566369</v>
      </c>
      <c r="P216" s="8">
        <v>81.536655797783325</v>
      </c>
      <c r="Q216" s="8">
        <v>77.729061231103927</v>
      </c>
      <c r="R216" s="8">
        <v>87.364905561504997</v>
      </c>
      <c r="S216" s="20">
        <v>3.8333333333333335</v>
      </c>
      <c r="T216" s="6">
        <v>150</v>
      </c>
      <c r="U216" s="20">
        <v>8</v>
      </c>
      <c r="V216" s="12">
        <v>0</v>
      </c>
    </row>
    <row r="217" spans="1:22" s="53" customFormat="1" x14ac:dyDescent="0.35">
      <c r="A217" s="2">
        <v>42859</v>
      </c>
      <c r="B217" s="3">
        <f t="shared" si="15"/>
        <v>2017</v>
      </c>
      <c r="C217" s="3">
        <f t="shared" si="16"/>
        <v>5</v>
      </c>
      <c r="D217" s="3">
        <f t="shared" si="17"/>
        <v>4</v>
      </c>
      <c r="E217" s="23">
        <v>25.4</v>
      </c>
      <c r="F217" s="23">
        <v>32</v>
      </c>
      <c r="G217" s="23">
        <v>29.2</v>
      </c>
      <c r="H217" s="34">
        <v>28</v>
      </c>
      <c r="I217" s="23">
        <v>32.5</v>
      </c>
      <c r="J217" s="23">
        <v>25</v>
      </c>
      <c r="K217" s="25" t="s">
        <v>9</v>
      </c>
      <c r="L217" s="25">
        <v>87.5</v>
      </c>
      <c r="M217" s="5"/>
      <c r="N217" s="13">
        <v>1011.1083333333331</v>
      </c>
      <c r="O217" s="8">
        <v>90.123121724799176</v>
      </c>
      <c r="P217" s="8">
        <v>69.005796472623132</v>
      </c>
      <c r="Q217" s="8">
        <v>79.396369688460297</v>
      </c>
      <c r="R217" s="8">
        <v>82.162102402670442</v>
      </c>
      <c r="S217" s="20">
        <v>5.6111111111111107</v>
      </c>
      <c r="T217" s="6">
        <v>170</v>
      </c>
      <c r="U217" s="20">
        <v>11</v>
      </c>
      <c r="V217" s="12">
        <v>0</v>
      </c>
    </row>
    <row r="218" spans="1:22" s="53" customFormat="1" x14ac:dyDescent="0.35">
      <c r="A218" s="2">
        <v>42860</v>
      </c>
      <c r="B218" s="3">
        <f t="shared" si="15"/>
        <v>2017</v>
      </c>
      <c r="C218" s="3">
        <f t="shared" si="16"/>
        <v>5</v>
      </c>
      <c r="D218" s="3">
        <f t="shared" si="17"/>
        <v>5</v>
      </c>
      <c r="E218" s="23">
        <v>25.1</v>
      </c>
      <c r="F218" s="23">
        <v>30.8</v>
      </c>
      <c r="G218" s="23">
        <v>28.6</v>
      </c>
      <c r="H218" s="34">
        <v>27.4</v>
      </c>
      <c r="I218" s="23">
        <v>31.8</v>
      </c>
      <c r="J218" s="23">
        <v>24.8</v>
      </c>
      <c r="K218" s="25">
        <v>1</v>
      </c>
      <c r="L218" s="25">
        <v>68.75</v>
      </c>
      <c r="M218" s="5"/>
      <c r="N218" s="13">
        <v>1011.4333333333334</v>
      </c>
      <c r="O218" s="8">
        <v>93.321217704185642</v>
      </c>
      <c r="P218" s="8">
        <v>70.816745642548682</v>
      </c>
      <c r="Q218" s="8">
        <v>83.426751970972333</v>
      </c>
      <c r="R218" s="8">
        <v>85.221483255473061</v>
      </c>
      <c r="S218" s="20">
        <v>5.5</v>
      </c>
      <c r="T218" s="6">
        <v>90</v>
      </c>
      <c r="U218" s="20">
        <v>10</v>
      </c>
      <c r="V218" s="12">
        <v>0</v>
      </c>
    </row>
    <row r="219" spans="1:22" s="53" customFormat="1" x14ac:dyDescent="0.35">
      <c r="A219" s="2">
        <v>42861</v>
      </c>
      <c r="B219" s="3">
        <f t="shared" si="15"/>
        <v>2017</v>
      </c>
      <c r="C219" s="3">
        <f t="shared" si="16"/>
        <v>5</v>
      </c>
      <c r="D219" s="3">
        <f t="shared" si="17"/>
        <v>6</v>
      </c>
      <c r="E219" s="23">
        <v>25.2</v>
      </c>
      <c r="F219" s="23">
        <v>30.8</v>
      </c>
      <c r="G219" s="23">
        <v>25.8</v>
      </c>
      <c r="H219" s="34">
        <v>26.75</v>
      </c>
      <c r="I219" s="23">
        <v>31.8</v>
      </c>
      <c r="J219" s="23">
        <v>24</v>
      </c>
      <c r="K219" s="25" t="s">
        <v>9</v>
      </c>
      <c r="L219" s="25">
        <v>38.75</v>
      </c>
      <c r="M219" s="5"/>
      <c r="N219" s="13">
        <v>1012.0583333333333</v>
      </c>
      <c r="O219" s="8">
        <v>90.073878437531846</v>
      </c>
      <c r="P219" s="8">
        <v>67.003143894281635</v>
      </c>
      <c r="Q219" s="8">
        <v>85.479575789856412</v>
      </c>
      <c r="R219" s="8">
        <v>83.157619139800431</v>
      </c>
      <c r="S219" s="20">
        <v>4.0555555555555554</v>
      </c>
      <c r="T219" s="6">
        <v>200</v>
      </c>
      <c r="U219" s="20">
        <v>8</v>
      </c>
      <c r="V219" s="12">
        <v>0</v>
      </c>
    </row>
    <row r="220" spans="1:22" s="53" customFormat="1" x14ac:dyDescent="0.35">
      <c r="A220" s="2">
        <v>42862</v>
      </c>
      <c r="B220" s="3">
        <f t="shared" si="15"/>
        <v>2017</v>
      </c>
      <c r="C220" s="3">
        <f t="shared" si="16"/>
        <v>5</v>
      </c>
      <c r="D220" s="3">
        <f t="shared" si="17"/>
        <v>7</v>
      </c>
      <c r="E220" s="23">
        <v>25.6</v>
      </c>
      <c r="F220" s="23">
        <v>30.8</v>
      </c>
      <c r="G220" s="23">
        <v>27.4</v>
      </c>
      <c r="H220" s="34">
        <v>27.35</v>
      </c>
      <c r="I220" s="23">
        <v>31.2</v>
      </c>
      <c r="J220" s="23">
        <v>25.4</v>
      </c>
      <c r="K220" s="25" t="s">
        <v>9</v>
      </c>
      <c r="L220" s="25">
        <v>25</v>
      </c>
      <c r="M220" s="5"/>
      <c r="N220" s="13">
        <v>1011.5625</v>
      </c>
      <c r="O220" s="8">
        <v>86.981734945731318</v>
      </c>
      <c r="P220" s="8">
        <v>65.749700244680383</v>
      </c>
      <c r="Q220" s="8">
        <v>84.485705347192749</v>
      </c>
      <c r="R220" s="8">
        <v>81.049718870833942</v>
      </c>
      <c r="S220" s="20">
        <v>3.8333333333333335</v>
      </c>
      <c r="T220" s="6">
        <v>90</v>
      </c>
      <c r="U220" s="37">
        <v>10</v>
      </c>
      <c r="V220" s="33">
        <v>0</v>
      </c>
    </row>
    <row r="221" spans="1:22" s="53" customFormat="1" x14ac:dyDescent="0.35">
      <c r="A221" s="2">
        <v>42863</v>
      </c>
      <c r="B221" s="3">
        <f t="shared" si="15"/>
        <v>2017</v>
      </c>
      <c r="C221" s="3">
        <f t="shared" si="16"/>
        <v>5</v>
      </c>
      <c r="D221" s="3">
        <f t="shared" si="17"/>
        <v>8</v>
      </c>
      <c r="E221" s="23">
        <v>25.4</v>
      </c>
      <c r="F221" s="23">
        <v>31</v>
      </c>
      <c r="G221" s="23">
        <v>29.5</v>
      </c>
      <c r="H221" s="34">
        <v>27.824999999999999</v>
      </c>
      <c r="I221" s="23">
        <v>31.6</v>
      </c>
      <c r="J221" s="23">
        <v>24.3</v>
      </c>
      <c r="K221" s="25" t="s">
        <v>9</v>
      </c>
      <c r="L221" s="25">
        <v>100</v>
      </c>
      <c r="M221" s="5"/>
      <c r="N221" s="13">
        <v>1010.6041666666666</v>
      </c>
      <c r="O221" s="8">
        <v>90.929035768439476</v>
      </c>
      <c r="P221" s="8">
        <v>70.932871760592462</v>
      </c>
      <c r="Q221" s="8">
        <v>73.38796634039582</v>
      </c>
      <c r="R221" s="8">
        <v>81.544727409466816</v>
      </c>
      <c r="S221" s="20">
        <v>5.833333333333333</v>
      </c>
      <c r="T221" s="6">
        <v>90</v>
      </c>
      <c r="U221" s="20">
        <v>11</v>
      </c>
      <c r="V221" s="12">
        <v>0</v>
      </c>
    </row>
    <row r="222" spans="1:22" s="53" customFormat="1" x14ac:dyDescent="0.35">
      <c r="A222" s="2">
        <v>42864</v>
      </c>
      <c r="B222" s="3">
        <f t="shared" si="15"/>
        <v>2017</v>
      </c>
      <c r="C222" s="3">
        <f t="shared" si="16"/>
        <v>5</v>
      </c>
      <c r="D222" s="3">
        <f t="shared" si="17"/>
        <v>9</v>
      </c>
      <c r="E222" s="23">
        <v>25.6</v>
      </c>
      <c r="F222" s="23">
        <v>31.6</v>
      </c>
      <c r="G222" s="23">
        <v>29</v>
      </c>
      <c r="H222" s="34">
        <v>27.950000000000003</v>
      </c>
      <c r="I222" s="23">
        <v>32.4</v>
      </c>
      <c r="J222" s="23">
        <v>24.4</v>
      </c>
      <c r="K222" s="25" t="s">
        <v>9</v>
      </c>
      <c r="L222" s="25">
        <v>100</v>
      </c>
      <c r="M222" s="5"/>
      <c r="N222" s="13">
        <v>1009.8375</v>
      </c>
      <c r="O222" s="8">
        <v>90.170334564083319</v>
      </c>
      <c r="P222" s="8">
        <v>65.077053877321816</v>
      </c>
      <c r="Q222" s="8">
        <v>69.756981453974859</v>
      </c>
      <c r="R222" s="8">
        <v>78.793676114865832</v>
      </c>
      <c r="S222" s="20">
        <v>5.4210526315789478</v>
      </c>
      <c r="T222" s="6">
        <v>110</v>
      </c>
      <c r="U222" s="20">
        <v>9</v>
      </c>
      <c r="V222" s="12">
        <v>0</v>
      </c>
    </row>
    <row r="223" spans="1:22" s="53" customFormat="1" x14ac:dyDescent="0.35">
      <c r="A223" s="2">
        <v>42865</v>
      </c>
      <c r="B223" s="3">
        <f t="shared" si="15"/>
        <v>2017</v>
      </c>
      <c r="C223" s="3">
        <f t="shared" si="16"/>
        <v>5</v>
      </c>
      <c r="D223" s="3">
        <f t="shared" si="17"/>
        <v>10</v>
      </c>
      <c r="E223" s="23">
        <v>26</v>
      </c>
      <c r="F223" s="23">
        <v>31.6</v>
      </c>
      <c r="G223" s="23">
        <v>29.8</v>
      </c>
      <c r="H223" s="34">
        <v>28.349999999999998</v>
      </c>
      <c r="I223" s="23">
        <v>32.200000000000003</v>
      </c>
      <c r="J223" s="23">
        <v>23.4</v>
      </c>
      <c r="K223" s="25" t="s">
        <v>9</v>
      </c>
      <c r="L223" s="25">
        <v>100</v>
      </c>
      <c r="M223" s="5"/>
      <c r="N223" s="13">
        <v>1009.9541666666668</v>
      </c>
      <c r="O223" s="8">
        <v>87.105449614311382</v>
      </c>
      <c r="P223" s="8">
        <v>63.863042211210342</v>
      </c>
      <c r="Q223" s="8">
        <v>71.561663122105145</v>
      </c>
      <c r="R223" s="8">
        <v>77.408901140484559</v>
      </c>
      <c r="S223" s="20">
        <v>4.6521739130434785</v>
      </c>
      <c r="T223" s="6">
        <v>100</v>
      </c>
      <c r="U223" s="20">
        <v>9</v>
      </c>
      <c r="V223" s="12">
        <v>0</v>
      </c>
    </row>
    <row r="224" spans="1:22" s="53" customFormat="1" x14ac:dyDescent="0.35">
      <c r="A224" s="2">
        <v>42866</v>
      </c>
      <c r="B224" s="3">
        <f t="shared" si="15"/>
        <v>2017</v>
      </c>
      <c r="C224" s="3">
        <f t="shared" si="16"/>
        <v>5</v>
      </c>
      <c r="D224" s="3">
        <f t="shared" si="17"/>
        <v>11</v>
      </c>
      <c r="E224" s="23">
        <v>24.4</v>
      </c>
      <c r="F224" s="23">
        <v>31</v>
      </c>
      <c r="G224" s="23">
        <v>30</v>
      </c>
      <c r="H224" s="34">
        <v>27.45</v>
      </c>
      <c r="I224" s="23">
        <v>31.8</v>
      </c>
      <c r="J224" s="23">
        <v>24.4</v>
      </c>
      <c r="K224" s="25" t="s">
        <v>9</v>
      </c>
      <c r="L224" s="25">
        <v>87.5</v>
      </c>
      <c r="M224" s="5"/>
      <c r="N224" s="13">
        <v>1010.0666666666666</v>
      </c>
      <c r="O224" s="8">
        <v>91.546037573266233</v>
      </c>
      <c r="P224" s="8">
        <v>67.155241563263999</v>
      </c>
      <c r="Q224" s="8">
        <v>72.994659027082037</v>
      </c>
      <c r="R224" s="8">
        <v>80.810493934219622</v>
      </c>
      <c r="S224" s="20">
        <v>3.9545454545454546</v>
      </c>
      <c r="T224" s="6">
        <v>60</v>
      </c>
      <c r="U224" s="20">
        <v>7</v>
      </c>
      <c r="V224" s="12">
        <v>0</v>
      </c>
    </row>
    <row r="225" spans="1:22" s="53" customFormat="1" x14ac:dyDescent="0.35">
      <c r="A225" s="2">
        <v>42867</v>
      </c>
      <c r="B225" s="3">
        <f t="shared" si="15"/>
        <v>2017</v>
      </c>
      <c r="C225" s="3">
        <f t="shared" si="16"/>
        <v>5</v>
      </c>
      <c r="D225" s="3">
        <f t="shared" si="17"/>
        <v>12</v>
      </c>
      <c r="E225" s="23">
        <v>25.2</v>
      </c>
      <c r="F225" s="23">
        <v>30.8</v>
      </c>
      <c r="G225" s="23">
        <v>30.2</v>
      </c>
      <c r="H225" s="34">
        <v>27.85</v>
      </c>
      <c r="I225" s="23">
        <v>31.6</v>
      </c>
      <c r="J225" s="23">
        <v>24.6</v>
      </c>
      <c r="K225" s="25">
        <v>27.2</v>
      </c>
      <c r="L225" s="25">
        <v>100</v>
      </c>
      <c r="M225" s="5"/>
      <c r="N225" s="13">
        <v>1009.5708333333333</v>
      </c>
      <c r="O225" s="8">
        <v>85.280475120370738</v>
      </c>
      <c r="P225" s="8">
        <v>68.916449147804187</v>
      </c>
      <c r="Q225" s="8">
        <v>70.489061943125691</v>
      </c>
      <c r="R225" s="8">
        <v>77.491615332917846</v>
      </c>
      <c r="S225" s="20">
        <v>5.1304347826086953</v>
      </c>
      <c r="T225" s="6">
        <v>180</v>
      </c>
      <c r="U225" s="20">
        <v>10</v>
      </c>
      <c r="V225" s="12">
        <v>0</v>
      </c>
    </row>
    <row r="226" spans="1:22" s="53" customFormat="1" x14ac:dyDescent="0.35">
      <c r="A226" s="2">
        <v>42868</v>
      </c>
      <c r="B226" s="3">
        <f t="shared" si="15"/>
        <v>2017</v>
      </c>
      <c r="C226" s="3">
        <f t="shared" si="16"/>
        <v>5</v>
      </c>
      <c r="D226" s="3">
        <f t="shared" si="17"/>
        <v>13</v>
      </c>
      <c r="E226" s="23">
        <v>25.2</v>
      </c>
      <c r="F226" s="23">
        <v>31.8</v>
      </c>
      <c r="G226" s="23">
        <v>29.8</v>
      </c>
      <c r="H226" s="34">
        <v>28</v>
      </c>
      <c r="I226" s="23">
        <v>32.200000000000003</v>
      </c>
      <c r="J226" s="23">
        <v>24.6</v>
      </c>
      <c r="K226" s="25" t="s">
        <v>9</v>
      </c>
      <c r="L226" s="25">
        <v>100</v>
      </c>
      <c r="M226" s="5"/>
      <c r="N226" s="13">
        <v>1009.1875</v>
      </c>
      <c r="O226" s="8">
        <v>80.584579884236518</v>
      </c>
      <c r="P226" s="8">
        <v>60.445342304622152</v>
      </c>
      <c r="Q226" s="8">
        <v>68.949713267479112</v>
      </c>
      <c r="R226" s="8">
        <v>72.64105383514358</v>
      </c>
      <c r="S226" s="20">
        <v>3</v>
      </c>
      <c r="T226" s="6">
        <v>190</v>
      </c>
      <c r="U226" s="20">
        <v>5</v>
      </c>
      <c r="V226" s="12">
        <v>0</v>
      </c>
    </row>
    <row r="227" spans="1:22" s="53" customFormat="1" x14ac:dyDescent="0.35">
      <c r="A227" s="2">
        <v>42869</v>
      </c>
      <c r="B227" s="3">
        <f t="shared" si="15"/>
        <v>2017</v>
      </c>
      <c r="C227" s="3">
        <f t="shared" si="16"/>
        <v>5</v>
      </c>
      <c r="D227" s="3">
        <f t="shared" si="17"/>
        <v>14</v>
      </c>
      <c r="E227" s="23">
        <v>24.7</v>
      </c>
      <c r="F227" s="23">
        <v>31.6</v>
      </c>
      <c r="G227" s="23">
        <v>30</v>
      </c>
      <c r="H227" s="34">
        <v>27.75</v>
      </c>
      <c r="I227" s="23">
        <v>32.200000000000003</v>
      </c>
      <c r="J227" s="23">
        <v>23</v>
      </c>
      <c r="K227" s="25" t="s">
        <v>9</v>
      </c>
      <c r="L227" s="25">
        <v>100</v>
      </c>
      <c r="M227" s="5"/>
      <c r="N227" s="13">
        <v>1009.5541666666668</v>
      </c>
      <c r="O227" s="8">
        <v>80.354668447977502</v>
      </c>
      <c r="P227" s="8">
        <v>61.470314891910803</v>
      </c>
      <c r="Q227" s="8">
        <v>69.069682151944406</v>
      </c>
      <c r="R227" s="8">
        <v>72.812333484952546</v>
      </c>
      <c r="S227" s="20">
        <v>3.3</v>
      </c>
      <c r="T227" s="6">
        <v>140</v>
      </c>
      <c r="U227" s="20">
        <v>7</v>
      </c>
      <c r="V227" s="12">
        <v>0</v>
      </c>
    </row>
    <row r="228" spans="1:22" s="53" customFormat="1" x14ac:dyDescent="0.35">
      <c r="A228" s="2">
        <v>42870</v>
      </c>
      <c r="B228" s="3">
        <f t="shared" si="15"/>
        <v>2017</v>
      </c>
      <c r="C228" s="3">
        <f t="shared" si="16"/>
        <v>5</v>
      </c>
      <c r="D228" s="3">
        <f t="shared" si="17"/>
        <v>15</v>
      </c>
      <c r="E228" s="23">
        <v>25</v>
      </c>
      <c r="F228" s="23">
        <v>30</v>
      </c>
      <c r="G228" s="23">
        <v>28.8</v>
      </c>
      <c r="H228" s="34">
        <v>27.2</v>
      </c>
      <c r="I228" s="23">
        <v>31.8</v>
      </c>
      <c r="J228" s="23">
        <v>25</v>
      </c>
      <c r="K228" s="25" t="s">
        <v>9</v>
      </c>
      <c r="L228" s="25">
        <v>100</v>
      </c>
      <c r="M228" s="5"/>
      <c r="N228" s="13">
        <v>1009.4833333333335</v>
      </c>
      <c r="O228" s="8">
        <v>86.811413600817502</v>
      </c>
      <c r="P228" s="8">
        <v>65.220437671022864</v>
      </c>
      <c r="Q228" s="8">
        <v>73.690537404586436</v>
      </c>
      <c r="R228" s="8">
        <v>78.13345056931108</v>
      </c>
      <c r="S228" s="20">
        <v>3.8</v>
      </c>
      <c r="T228" s="6">
        <v>190</v>
      </c>
      <c r="U228" s="20">
        <v>8</v>
      </c>
      <c r="V228" s="12">
        <v>0</v>
      </c>
    </row>
    <row r="229" spans="1:22" s="53" customFormat="1" x14ac:dyDescent="0.35">
      <c r="A229" s="2">
        <v>42871</v>
      </c>
      <c r="B229" s="3">
        <f t="shared" si="15"/>
        <v>2017</v>
      </c>
      <c r="C229" s="3">
        <f t="shared" si="16"/>
        <v>5</v>
      </c>
      <c r="D229" s="3">
        <f t="shared" si="17"/>
        <v>16</v>
      </c>
      <c r="E229" s="23">
        <v>24.6</v>
      </c>
      <c r="F229" s="23">
        <v>30.8</v>
      </c>
      <c r="G229" s="23">
        <v>29.6</v>
      </c>
      <c r="H229" s="34">
        <v>27.4</v>
      </c>
      <c r="I229" s="23">
        <v>31.6</v>
      </c>
      <c r="J229" s="23">
        <v>24.6</v>
      </c>
      <c r="K229" s="25">
        <v>0</v>
      </c>
      <c r="L229" s="25">
        <v>57.499999999999993</v>
      </c>
      <c r="M229" s="5"/>
      <c r="N229" s="13">
        <v>1009.0291666666668</v>
      </c>
      <c r="O229" s="8">
        <v>93.246298993929017</v>
      </c>
      <c r="P229" s="8">
        <v>73.421698832110962</v>
      </c>
      <c r="Q229" s="8">
        <v>80.968601694217028</v>
      </c>
      <c r="R229" s="8">
        <v>85.220724628546492</v>
      </c>
      <c r="S229" s="20">
        <v>3.9</v>
      </c>
      <c r="T229" s="6">
        <v>160</v>
      </c>
      <c r="U229" s="20">
        <v>7</v>
      </c>
      <c r="V229" s="12">
        <v>0</v>
      </c>
    </row>
    <row r="230" spans="1:22" s="53" customFormat="1" x14ac:dyDescent="0.35">
      <c r="A230" s="2">
        <v>42872</v>
      </c>
      <c r="B230" s="3">
        <f t="shared" si="15"/>
        <v>2017</v>
      </c>
      <c r="C230" s="3">
        <f t="shared" si="16"/>
        <v>5</v>
      </c>
      <c r="D230" s="3">
        <f t="shared" si="17"/>
        <v>17</v>
      </c>
      <c r="E230" s="23">
        <v>24.8</v>
      </c>
      <c r="F230" s="23">
        <v>31.8</v>
      </c>
      <c r="G230" s="23">
        <v>29.4</v>
      </c>
      <c r="H230" s="34">
        <v>27.700000000000003</v>
      </c>
      <c r="I230" s="23">
        <v>32</v>
      </c>
      <c r="J230" s="23">
        <v>22.2</v>
      </c>
      <c r="K230" s="25" t="s">
        <v>9</v>
      </c>
      <c r="L230" s="25">
        <v>100</v>
      </c>
      <c r="M230" s="5"/>
      <c r="N230" s="13">
        <v>1009.6708333333335</v>
      </c>
      <c r="O230" s="8">
        <v>81.971582662681357</v>
      </c>
      <c r="P230" s="8">
        <v>56.944666072957837</v>
      </c>
      <c r="Q230" s="8">
        <v>72.666374412078028</v>
      </c>
      <c r="R230" s="8">
        <v>73.388551452599643</v>
      </c>
      <c r="S230" s="20" t="e">
        <v>#N/A</v>
      </c>
      <c r="T230" s="6">
        <v>190</v>
      </c>
      <c r="U230" s="20" t="e">
        <v>#N/A</v>
      </c>
      <c r="V230" s="12">
        <v>0</v>
      </c>
    </row>
    <row r="231" spans="1:22" s="53" customFormat="1" x14ac:dyDescent="0.35">
      <c r="A231" s="2">
        <v>42873</v>
      </c>
      <c r="B231" s="3">
        <f t="shared" si="15"/>
        <v>2017</v>
      </c>
      <c r="C231" s="3">
        <f t="shared" si="16"/>
        <v>5</v>
      </c>
      <c r="D231" s="3">
        <f t="shared" si="17"/>
        <v>18</v>
      </c>
      <c r="E231" s="23">
        <v>24.7</v>
      </c>
      <c r="F231" s="23">
        <v>31.8</v>
      </c>
      <c r="G231" s="23">
        <v>29.5</v>
      </c>
      <c r="H231" s="34">
        <v>27.675000000000001</v>
      </c>
      <c r="I231" s="23">
        <v>32.5</v>
      </c>
      <c r="J231" s="23">
        <v>24</v>
      </c>
      <c r="K231" s="25" t="s">
        <v>9</v>
      </c>
      <c r="L231" s="25">
        <v>100</v>
      </c>
      <c r="M231" s="5"/>
      <c r="N231" s="13">
        <v>1010.5000000000001</v>
      </c>
      <c r="O231" s="8">
        <v>79.56716390854919</v>
      </c>
      <c r="P231" s="8">
        <v>54.643598904588707</v>
      </c>
      <c r="Q231" s="8">
        <v>66.794639107577439</v>
      </c>
      <c r="R231" s="8">
        <v>70.143141457316133</v>
      </c>
      <c r="S231" s="20">
        <v>3.4583333333333335</v>
      </c>
      <c r="T231" s="6">
        <v>140</v>
      </c>
      <c r="U231" s="20">
        <v>6</v>
      </c>
      <c r="V231" s="12">
        <v>0</v>
      </c>
    </row>
    <row r="232" spans="1:22" s="53" customFormat="1" x14ac:dyDescent="0.35">
      <c r="A232" s="2">
        <v>42874</v>
      </c>
      <c r="B232" s="3">
        <f t="shared" si="15"/>
        <v>2017</v>
      </c>
      <c r="C232" s="3">
        <f t="shared" si="16"/>
        <v>5</v>
      </c>
      <c r="D232" s="3">
        <f t="shared" si="17"/>
        <v>19</v>
      </c>
      <c r="E232" s="23">
        <v>24.2</v>
      </c>
      <c r="F232" s="23">
        <v>31.9</v>
      </c>
      <c r="G232" s="23">
        <v>30</v>
      </c>
      <c r="H232" s="34">
        <v>27.574999999999999</v>
      </c>
      <c r="I232" s="23">
        <v>32.200000000000003</v>
      </c>
      <c r="J232" s="23">
        <v>23.6</v>
      </c>
      <c r="K232" s="25" t="s">
        <v>9</v>
      </c>
      <c r="L232" s="25">
        <v>100</v>
      </c>
      <c r="M232" s="5"/>
      <c r="N232" s="13">
        <v>1009.6791666666664</v>
      </c>
      <c r="O232" s="8">
        <v>84.114607751898092</v>
      </c>
      <c r="P232" s="8">
        <v>54.175293026310598</v>
      </c>
      <c r="Q232" s="8">
        <v>67.782307025678293</v>
      </c>
      <c r="R232" s="8">
        <v>72.546703888946269</v>
      </c>
      <c r="S232" s="20">
        <v>3.6956521739130435</v>
      </c>
      <c r="T232" s="6">
        <v>130</v>
      </c>
      <c r="U232" s="20">
        <v>8</v>
      </c>
      <c r="V232" s="12">
        <v>0</v>
      </c>
    </row>
    <row r="233" spans="1:22" s="53" customFormat="1" x14ac:dyDescent="0.35">
      <c r="A233" s="2">
        <v>42875</v>
      </c>
      <c r="B233" s="3">
        <f t="shared" si="15"/>
        <v>2017</v>
      </c>
      <c r="C233" s="3">
        <f t="shared" si="16"/>
        <v>5</v>
      </c>
      <c r="D233" s="3">
        <f t="shared" si="17"/>
        <v>20</v>
      </c>
      <c r="E233" s="23">
        <v>24</v>
      </c>
      <c r="F233" s="23">
        <v>32.6</v>
      </c>
      <c r="G233" s="23">
        <v>30.2</v>
      </c>
      <c r="H233" s="34">
        <v>27.7</v>
      </c>
      <c r="I233" s="23">
        <v>33.4</v>
      </c>
      <c r="J233" s="23">
        <v>24</v>
      </c>
      <c r="K233" s="25" t="s">
        <v>9</v>
      </c>
      <c r="L233" s="25">
        <v>62.5</v>
      </c>
      <c r="M233" s="5"/>
      <c r="N233" s="13">
        <v>1008.5041666666666</v>
      </c>
      <c r="O233" s="8">
        <v>80.021437049949171</v>
      </c>
      <c r="P233" s="8">
        <v>50.956571613350512</v>
      </c>
      <c r="Q233" s="8">
        <v>65.385000891940521</v>
      </c>
      <c r="R233" s="8">
        <v>69.096111651297349</v>
      </c>
      <c r="S233" s="20">
        <v>4.3478260869565215</v>
      </c>
      <c r="T233" s="6">
        <v>190</v>
      </c>
      <c r="U233" s="20">
        <v>9</v>
      </c>
      <c r="V233" s="12">
        <v>0</v>
      </c>
    </row>
    <row r="234" spans="1:22" s="53" customFormat="1" x14ac:dyDescent="0.35">
      <c r="A234" s="2">
        <v>42876</v>
      </c>
      <c r="B234" s="3">
        <f t="shared" si="15"/>
        <v>2017</v>
      </c>
      <c r="C234" s="3">
        <f t="shared" si="16"/>
        <v>5</v>
      </c>
      <c r="D234" s="3">
        <f t="shared" si="17"/>
        <v>21</v>
      </c>
      <c r="E234" s="23">
        <v>25.2</v>
      </c>
      <c r="F234" s="23">
        <v>30.8</v>
      </c>
      <c r="G234" s="23">
        <v>30</v>
      </c>
      <c r="H234" s="34">
        <v>27.8</v>
      </c>
      <c r="I234" s="23">
        <v>31.7</v>
      </c>
      <c r="J234" s="23">
        <v>23.3</v>
      </c>
      <c r="K234" s="25" t="s">
        <v>9</v>
      </c>
      <c r="L234" s="25">
        <v>100</v>
      </c>
      <c r="M234" s="5"/>
      <c r="N234" s="13">
        <v>1008.8708333333333</v>
      </c>
      <c r="O234" s="8">
        <v>74.484412594680194</v>
      </c>
      <c r="P234" s="8">
        <v>62.093111514915911</v>
      </c>
      <c r="Q234" s="8">
        <v>65.241034665198313</v>
      </c>
      <c r="R234" s="8">
        <v>69.075742842368655</v>
      </c>
      <c r="S234" s="20">
        <v>3.6956521739130435</v>
      </c>
      <c r="T234" s="6">
        <v>200</v>
      </c>
      <c r="U234" s="20">
        <v>9</v>
      </c>
      <c r="V234" s="12">
        <v>0</v>
      </c>
    </row>
    <row r="235" spans="1:22" s="53" customFormat="1" x14ac:dyDescent="0.35">
      <c r="A235" s="2">
        <v>42877</v>
      </c>
      <c r="B235" s="3">
        <f t="shared" si="15"/>
        <v>2017</v>
      </c>
      <c r="C235" s="3">
        <f t="shared" si="16"/>
        <v>5</v>
      </c>
      <c r="D235" s="3">
        <f t="shared" si="17"/>
        <v>22</v>
      </c>
      <c r="E235" s="23">
        <v>24.9</v>
      </c>
      <c r="F235" s="23">
        <v>31.2</v>
      </c>
      <c r="G235" s="23">
        <v>29.8</v>
      </c>
      <c r="H235" s="34">
        <v>27.7</v>
      </c>
      <c r="I235" s="23">
        <v>32</v>
      </c>
      <c r="J235" s="23">
        <v>24.9</v>
      </c>
      <c r="K235" s="25" t="s">
        <v>9</v>
      </c>
      <c r="L235" s="25">
        <v>100</v>
      </c>
      <c r="M235" s="5"/>
      <c r="N235" s="13">
        <v>1009.9250000000001</v>
      </c>
      <c r="O235" s="8">
        <v>87.58041358955731</v>
      </c>
      <c r="P235" s="8">
        <v>63.587951177477031</v>
      </c>
      <c r="Q235" s="8">
        <v>74.225276973470272</v>
      </c>
      <c r="R235" s="8">
        <v>78.243513832515475</v>
      </c>
      <c r="S235" s="20">
        <v>4.7619047619047619</v>
      </c>
      <c r="T235" s="6">
        <v>130</v>
      </c>
      <c r="U235" s="20">
        <v>10</v>
      </c>
      <c r="V235" s="12">
        <v>0</v>
      </c>
    </row>
    <row r="236" spans="1:22" s="53" customFormat="1" x14ac:dyDescent="0.35">
      <c r="A236" s="2">
        <v>42878</v>
      </c>
      <c r="B236" s="3">
        <f t="shared" si="15"/>
        <v>2017</v>
      </c>
      <c r="C236" s="3">
        <f t="shared" si="16"/>
        <v>5</v>
      </c>
      <c r="D236" s="3">
        <f t="shared" si="17"/>
        <v>23</v>
      </c>
      <c r="E236" s="23">
        <v>24.4</v>
      </c>
      <c r="F236" s="23">
        <v>31.7</v>
      </c>
      <c r="G236" s="23">
        <v>29.5</v>
      </c>
      <c r="H236" s="34">
        <v>27.5</v>
      </c>
      <c r="I236" s="23">
        <v>32.4</v>
      </c>
      <c r="J236" s="23">
        <v>22.6</v>
      </c>
      <c r="K236" s="25" t="s">
        <v>9</v>
      </c>
      <c r="L236" s="25">
        <v>100</v>
      </c>
      <c r="M236" s="5"/>
      <c r="N236" s="13">
        <v>1010.0916666666667</v>
      </c>
      <c r="O236" s="8">
        <v>78.633162425237998</v>
      </c>
      <c r="P236" s="8">
        <v>57.434868060661728</v>
      </c>
      <c r="Q236" s="8">
        <v>71.3931294490406</v>
      </c>
      <c r="R236" s="8">
        <v>71.523580590044588</v>
      </c>
      <c r="S236" s="20">
        <v>4.875</v>
      </c>
      <c r="T236" s="6">
        <v>190</v>
      </c>
      <c r="U236" s="20">
        <v>8</v>
      </c>
      <c r="V236" s="12">
        <v>0</v>
      </c>
    </row>
    <row r="237" spans="1:22" s="53" customFormat="1" x14ac:dyDescent="0.35">
      <c r="A237" s="2">
        <v>42879</v>
      </c>
      <c r="B237" s="3">
        <f t="shared" si="15"/>
        <v>2017</v>
      </c>
      <c r="C237" s="3">
        <f t="shared" si="16"/>
        <v>5</v>
      </c>
      <c r="D237" s="3">
        <f t="shared" si="17"/>
        <v>24</v>
      </c>
      <c r="E237" s="23">
        <v>22.6</v>
      </c>
      <c r="F237" s="23">
        <v>30.6</v>
      </c>
      <c r="G237" s="23">
        <v>30</v>
      </c>
      <c r="H237" s="34">
        <v>26.450000000000003</v>
      </c>
      <c r="I237" s="23">
        <v>31.8</v>
      </c>
      <c r="J237" s="23">
        <v>22.6</v>
      </c>
      <c r="K237" s="25" t="s">
        <v>9</v>
      </c>
      <c r="L237" s="25">
        <v>100</v>
      </c>
      <c r="M237" s="5"/>
      <c r="N237" s="13">
        <v>1010.1166666666667</v>
      </c>
      <c r="O237" s="8">
        <v>87.718971725888821</v>
      </c>
      <c r="P237" s="8">
        <v>54.724184109716447</v>
      </c>
      <c r="Q237" s="8">
        <v>62.714098176830504</v>
      </c>
      <c r="R237" s="8">
        <v>73.219056434581148</v>
      </c>
      <c r="S237" s="20">
        <v>4.4285714285714288</v>
      </c>
      <c r="T237" s="6">
        <v>200</v>
      </c>
      <c r="U237" s="20">
        <v>10</v>
      </c>
      <c r="V237" s="12">
        <v>0</v>
      </c>
    </row>
    <row r="238" spans="1:22" s="53" customFormat="1" x14ac:dyDescent="0.35">
      <c r="A238" s="2">
        <v>42880</v>
      </c>
      <c r="B238" s="3">
        <f t="shared" si="15"/>
        <v>2017</v>
      </c>
      <c r="C238" s="3">
        <f t="shared" si="16"/>
        <v>5</v>
      </c>
      <c r="D238" s="3">
        <f t="shared" si="17"/>
        <v>25</v>
      </c>
      <c r="E238" s="23">
        <v>24.4</v>
      </c>
      <c r="F238" s="23">
        <v>32</v>
      </c>
      <c r="G238" s="23">
        <v>29.8</v>
      </c>
      <c r="H238" s="34">
        <v>27.65</v>
      </c>
      <c r="I238" s="23">
        <v>31.6</v>
      </c>
      <c r="J238" s="23">
        <v>24.4</v>
      </c>
      <c r="K238" s="25" t="s">
        <v>9</v>
      </c>
      <c r="L238" s="25">
        <v>100</v>
      </c>
      <c r="M238" s="5"/>
      <c r="N238" s="13">
        <v>1009.6916666666666</v>
      </c>
      <c r="O238" s="8">
        <v>83.393525398290819</v>
      </c>
      <c r="P238" s="8">
        <v>52.586694049996396</v>
      </c>
      <c r="Q238" s="8">
        <v>70.249527858060759</v>
      </c>
      <c r="R238" s="8">
        <v>72.405818176159698</v>
      </c>
      <c r="S238" s="20">
        <v>4.0869565217391308</v>
      </c>
      <c r="T238" s="6">
        <v>200</v>
      </c>
      <c r="U238" s="20">
        <v>9</v>
      </c>
      <c r="V238" s="12">
        <v>0</v>
      </c>
    </row>
    <row r="239" spans="1:22" s="53" customFormat="1" x14ac:dyDescent="0.35">
      <c r="A239" s="2">
        <v>42881</v>
      </c>
      <c r="B239" s="3">
        <f t="shared" si="15"/>
        <v>2017</v>
      </c>
      <c r="C239" s="3">
        <f t="shared" si="16"/>
        <v>5</v>
      </c>
      <c r="D239" s="3">
        <f t="shared" si="17"/>
        <v>26</v>
      </c>
      <c r="E239" s="23">
        <v>26</v>
      </c>
      <c r="F239" s="23">
        <v>31.6</v>
      </c>
      <c r="G239" s="23">
        <v>27.4</v>
      </c>
      <c r="H239" s="34">
        <v>27.75</v>
      </c>
      <c r="I239" s="23">
        <v>32.6</v>
      </c>
      <c r="J239" s="23">
        <v>24</v>
      </c>
      <c r="K239" s="25" t="s">
        <v>9</v>
      </c>
      <c r="L239" s="25">
        <v>92.5</v>
      </c>
      <c r="M239" s="5"/>
      <c r="N239" s="13">
        <v>1009.166666666667</v>
      </c>
      <c r="O239" s="8">
        <v>82.46332542995124</v>
      </c>
      <c r="P239" s="8">
        <v>62.666461800375551</v>
      </c>
      <c r="Q239" s="8">
        <v>84.496153816097831</v>
      </c>
      <c r="R239" s="8">
        <v>78.022316619093971</v>
      </c>
      <c r="S239" s="20">
        <v>4.2608695652173916</v>
      </c>
      <c r="T239" s="6">
        <v>140</v>
      </c>
      <c r="U239" s="20">
        <v>9</v>
      </c>
      <c r="V239" s="12">
        <v>0</v>
      </c>
    </row>
    <row r="240" spans="1:22" s="53" customFormat="1" x14ac:dyDescent="0.35">
      <c r="A240" s="2">
        <v>42882</v>
      </c>
      <c r="B240" s="3">
        <f t="shared" si="15"/>
        <v>2017</v>
      </c>
      <c r="C240" s="3">
        <f t="shared" si="16"/>
        <v>5</v>
      </c>
      <c r="D240" s="3">
        <f t="shared" si="17"/>
        <v>27</v>
      </c>
      <c r="E240" s="23">
        <v>25.4</v>
      </c>
      <c r="F240" s="23">
        <v>31.7</v>
      </c>
      <c r="G240" s="23">
        <v>29.6</v>
      </c>
      <c r="H240" s="34">
        <v>28.024999999999999</v>
      </c>
      <c r="I240" s="23">
        <v>32.6</v>
      </c>
      <c r="J240" s="23">
        <v>25.4</v>
      </c>
      <c r="K240" s="25" t="s">
        <v>9</v>
      </c>
      <c r="L240" s="25">
        <v>63.749999999999993</v>
      </c>
      <c r="M240" s="5"/>
      <c r="N240" s="13">
        <v>1008.7708333333335</v>
      </c>
      <c r="O240" s="8">
        <v>90.130175030529344</v>
      </c>
      <c r="P240" s="8">
        <v>68.218432283882663</v>
      </c>
      <c r="Q240" s="8">
        <v>76.830818343392465</v>
      </c>
      <c r="R240" s="8">
        <v>81.327400172083458</v>
      </c>
      <c r="S240" s="20">
        <v>3.625</v>
      </c>
      <c r="T240" s="6">
        <v>80</v>
      </c>
      <c r="U240" s="20">
        <v>7</v>
      </c>
      <c r="V240" s="12">
        <v>0</v>
      </c>
    </row>
    <row r="241" spans="1:22" s="53" customFormat="1" x14ac:dyDescent="0.35">
      <c r="A241" s="2">
        <v>42883</v>
      </c>
      <c r="B241" s="3">
        <f t="shared" si="15"/>
        <v>2017</v>
      </c>
      <c r="C241" s="3">
        <f t="shared" si="16"/>
        <v>5</v>
      </c>
      <c r="D241" s="3">
        <f t="shared" si="17"/>
        <v>28</v>
      </c>
      <c r="E241" s="23">
        <v>25.4</v>
      </c>
      <c r="F241" s="23">
        <v>31.6</v>
      </c>
      <c r="G241" s="23">
        <v>26.4</v>
      </c>
      <c r="H241" s="34">
        <v>27.200000000000003</v>
      </c>
      <c r="I241" s="23">
        <v>32.4</v>
      </c>
      <c r="J241" s="23">
        <v>24</v>
      </c>
      <c r="K241" s="25">
        <v>18.899999999999999</v>
      </c>
      <c r="L241" s="25">
        <v>75</v>
      </c>
      <c r="M241" s="5"/>
      <c r="N241" s="13">
        <v>1009.1208333333334</v>
      </c>
      <c r="O241" s="8">
        <v>95.011477107703499</v>
      </c>
      <c r="P241" s="8">
        <v>66.314487815844871</v>
      </c>
      <c r="Q241" s="8">
        <v>93.521863000643563</v>
      </c>
      <c r="R241" s="8">
        <v>87.464826257973854</v>
      </c>
      <c r="S241" s="20">
        <v>5.1363636363636367</v>
      </c>
      <c r="T241" s="6">
        <v>150</v>
      </c>
      <c r="U241" s="20">
        <v>15</v>
      </c>
      <c r="V241" s="12">
        <v>0</v>
      </c>
    </row>
    <row r="242" spans="1:22" s="53" customFormat="1" x14ac:dyDescent="0.35">
      <c r="A242" s="2">
        <v>42884</v>
      </c>
      <c r="B242" s="3">
        <f t="shared" si="15"/>
        <v>2017</v>
      </c>
      <c r="C242" s="3">
        <f t="shared" si="16"/>
        <v>5</v>
      </c>
      <c r="D242" s="3">
        <f t="shared" si="17"/>
        <v>29</v>
      </c>
      <c r="E242" s="23">
        <v>24.4</v>
      </c>
      <c r="F242" s="23">
        <v>28.2</v>
      </c>
      <c r="G242" s="23">
        <v>25.4</v>
      </c>
      <c r="H242" s="34">
        <v>25.6</v>
      </c>
      <c r="I242" s="23">
        <v>28.2</v>
      </c>
      <c r="J242" s="23">
        <v>24</v>
      </c>
      <c r="K242" s="25">
        <v>21</v>
      </c>
      <c r="L242" s="25">
        <v>0</v>
      </c>
      <c r="M242" s="5"/>
      <c r="N242" s="13">
        <v>1010.3000000000001</v>
      </c>
      <c r="O242" s="8">
        <v>96.582947157691223</v>
      </c>
      <c r="P242" s="8">
        <v>80.390179243067095</v>
      </c>
      <c r="Q242" s="8">
        <v>91.744638717948419</v>
      </c>
      <c r="R242" s="8">
        <v>91.325178069099493</v>
      </c>
      <c r="S242" s="20">
        <v>3.0714285714285716</v>
      </c>
      <c r="T242" s="6">
        <v>150</v>
      </c>
      <c r="U242" s="20">
        <v>6</v>
      </c>
      <c r="V242" s="12">
        <v>0</v>
      </c>
    </row>
    <row r="243" spans="1:22" s="53" customFormat="1" x14ac:dyDescent="0.35">
      <c r="A243" s="2">
        <v>42885</v>
      </c>
      <c r="B243" s="3">
        <f t="shared" si="15"/>
        <v>2017</v>
      </c>
      <c r="C243" s="3">
        <f t="shared" si="16"/>
        <v>5</v>
      </c>
      <c r="D243" s="3">
        <f t="shared" si="17"/>
        <v>30</v>
      </c>
      <c r="E243" s="23">
        <v>25.5</v>
      </c>
      <c r="F243" s="23">
        <v>30.6</v>
      </c>
      <c r="G243" s="23">
        <v>29</v>
      </c>
      <c r="H243" s="34">
        <v>27.65</v>
      </c>
      <c r="I243" s="23">
        <v>31.2</v>
      </c>
      <c r="J243" s="23">
        <v>24.8</v>
      </c>
      <c r="K243" s="25" t="s">
        <v>9</v>
      </c>
      <c r="L243" s="25">
        <v>40</v>
      </c>
      <c r="M243" s="5"/>
      <c r="N243" s="13">
        <v>1010.4499999999999</v>
      </c>
      <c r="O243" s="8">
        <v>95.020964935331946</v>
      </c>
      <c r="P243" s="8">
        <v>73.306250089582932</v>
      </c>
      <c r="Q243" s="8">
        <v>79.31718998246177</v>
      </c>
      <c r="R243" s="8">
        <v>85.666342485677148</v>
      </c>
      <c r="S243" s="20">
        <v>3.85</v>
      </c>
      <c r="T243" s="6">
        <v>60</v>
      </c>
      <c r="U243" s="20">
        <v>8</v>
      </c>
      <c r="V243" s="12">
        <v>0</v>
      </c>
    </row>
    <row r="244" spans="1:22" s="53" customFormat="1" x14ac:dyDescent="0.35">
      <c r="A244" s="2">
        <v>42886</v>
      </c>
      <c r="B244" s="3">
        <f t="shared" si="15"/>
        <v>2017</v>
      </c>
      <c r="C244" s="3">
        <f t="shared" si="16"/>
        <v>5</v>
      </c>
      <c r="D244" s="3">
        <f t="shared" si="17"/>
        <v>31</v>
      </c>
      <c r="E244" s="23">
        <v>26</v>
      </c>
      <c r="F244" s="23">
        <v>30.9</v>
      </c>
      <c r="G244" s="23">
        <v>29.3</v>
      </c>
      <c r="H244" s="34">
        <v>28.05</v>
      </c>
      <c r="I244" s="23">
        <v>31.8</v>
      </c>
      <c r="J244" s="23">
        <v>24.8</v>
      </c>
      <c r="K244" s="25" t="s">
        <v>9</v>
      </c>
      <c r="L244" s="25">
        <v>0</v>
      </c>
      <c r="M244" s="5"/>
      <c r="N244" s="13">
        <v>813.04347826086962</v>
      </c>
      <c r="O244" s="8">
        <v>90.258056507673061</v>
      </c>
      <c r="P244" s="8">
        <v>68.97368760570906</v>
      </c>
      <c r="Q244" s="8">
        <v>81.546889970428936</v>
      </c>
      <c r="R244" s="8">
        <v>82.759172647871026</v>
      </c>
      <c r="S244" s="20">
        <v>3.2</v>
      </c>
      <c r="T244" s="6">
        <v>10</v>
      </c>
      <c r="U244" s="20">
        <v>6</v>
      </c>
      <c r="V244" s="12">
        <v>0</v>
      </c>
    </row>
    <row r="245" spans="1:22" s="53" customFormat="1" x14ac:dyDescent="0.35">
      <c r="A245" s="2">
        <v>42887</v>
      </c>
      <c r="B245" s="3">
        <f t="shared" si="15"/>
        <v>2017</v>
      </c>
      <c r="C245" s="3">
        <f t="shared" si="16"/>
        <v>6</v>
      </c>
      <c r="D245" s="3">
        <f t="shared" si="17"/>
        <v>1</v>
      </c>
      <c r="E245" s="13">
        <v>26.8</v>
      </c>
      <c r="F245" s="13">
        <v>30.8</v>
      </c>
      <c r="G245" s="13">
        <v>28.8</v>
      </c>
      <c r="H245" s="34">
        <v>28.3</v>
      </c>
      <c r="I245" s="13">
        <v>31.6</v>
      </c>
      <c r="J245" s="13">
        <v>25.4</v>
      </c>
      <c r="K245" s="79">
        <v>0.2</v>
      </c>
      <c r="L245" s="20">
        <v>77.5</v>
      </c>
      <c r="M245" s="16"/>
      <c r="N245" s="13">
        <v>1010.7541666666666</v>
      </c>
      <c r="O245" s="8">
        <v>100</v>
      </c>
      <c r="P245" s="8">
        <v>68.280473492457972</v>
      </c>
      <c r="Q245" s="8">
        <v>79.227151594772479</v>
      </c>
      <c r="R245" s="8">
        <v>86.876906271807613</v>
      </c>
      <c r="S245" s="46">
        <v>4.6875</v>
      </c>
      <c r="T245" s="84">
        <v>190</v>
      </c>
      <c r="U245" s="46">
        <v>10</v>
      </c>
      <c r="V245" s="84">
        <v>0</v>
      </c>
    </row>
    <row r="246" spans="1:22" s="53" customFormat="1" x14ac:dyDescent="0.35">
      <c r="A246" s="2">
        <v>42888</v>
      </c>
      <c r="B246" s="3">
        <f t="shared" si="15"/>
        <v>2017</v>
      </c>
      <c r="C246" s="3">
        <f t="shared" si="16"/>
        <v>6</v>
      </c>
      <c r="D246" s="3">
        <f t="shared" si="17"/>
        <v>2</v>
      </c>
      <c r="E246" s="13">
        <v>25.4</v>
      </c>
      <c r="F246" s="13">
        <v>31.2</v>
      </c>
      <c r="G246" s="13">
        <v>29.2</v>
      </c>
      <c r="H246" s="34">
        <v>27.8</v>
      </c>
      <c r="I246" s="13">
        <v>31.6</v>
      </c>
      <c r="J246" s="13">
        <v>24.2</v>
      </c>
      <c r="K246" s="79">
        <v>3.2</v>
      </c>
      <c r="L246" s="20">
        <v>77.5</v>
      </c>
      <c r="M246" s="16"/>
      <c r="N246" s="13">
        <v>1011.6083333333331</v>
      </c>
      <c r="O246" s="8">
        <v>86.924095252814155</v>
      </c>
      <c r="P246" s="8">
        <v>72.32345982938898</v>
      </c>
      <c r="Q246" s="8">
        <v>75.24665330460509</v>
      </c>
      <c r="R246" s="8">
        <v>80.354575909905591</v>
      </c>
      <c r="S246" s="46">
        <v>4.541666666666667</v>
      </c>
      <c r="T246" s="84">
        <v>190</v>
      </c>
      <c r="U246" s="46">
        <v>10</v>
      </c>
      <c r="V246" s="84">
        <v>0</v>
      </c>
    </row>
    <row r="247" spans="1:22" s="53" customFormat="1" x14ac:dyDescent="0.35">
      <c r="A247" s="2">
        <v>42889</v>
      </c>
      <c r="B247" s="3">
        <f t="shared" si="15"/>
        <v>2017</v>
      </c>
      <c r="C247" s="3">
        <f t="shared" si="16"/>
        <v>6</v>
      </c>
      <c r="D247" s="3">
        <f t="shared" si="17"/>
        <v>3</v>
      </c>
      <c r="E247" s="13">
        <v>24.6</v>
      </c>
      <c r="F247" s="13">
        <v>31.1</v>
      </c>
      <c r="G247" s="13">
        <v>28.7</v>
      </c>
      <c r="H247" s="34">
        <v>27.250000000000004</v>
      </c>
      <c r="I247" s="13">
        <v>31.6</v>
      </c>
      <c r="J247" s="13">
        <v>24.2</v>
      </c>
      <c r="K247" s="79" t="s">
        <v>9</v>
      </c>
      <c r="L247" s="20">
        <v>100</v>
      </c>
      <c r="M247" s="16"/>
      <c r="N247" s="13">
        <v>1011.670833333333</v>
      </c>
      <c r="O247" s="8">
        <v>88.300798345927063</v>
      </c>
      <c r="P247" s="8">
        <v>62.887911613822837</v>
      </c>
      <c r="Q247" s="8">
        <v>77.073892398396836</v>
      </c>
      <c r="R247" s="8">
        <v>79.140850176018446</v>
      </c>
      <c r="S247" s="46">
        <v>3.3157894736842106</v>
      </c>
      <c r="T247" s="84">
        <v>210</v>
      </c>
      <c r="U247" s="46">
        <v>6</v>
      </c>
      <c r="V247" s="84">
        <v>0</v>
      </c>
    </row>
    <row r="248" spans="1:22" s="53" customFormat="1" x14ac:dyDescent="0.35">
      <c r="A248" s="2">
        <v>42890</v>
      </c>
      <c r="B248" s="3">
        <f t="shared" si="15"/>
        <v>2017</v>
      </c>
      <c r="C248" s="3">
        <f t="shared" si="16"/>
        <v>6</v>
      </c>
      <c r="D248" s="3">
        <f t="shared" si="17"/>
        <v>4</v>
      </c>
      <c r="E248" s="13">
        <v>24.2</v>
      </c>
      <c r="F248" s="13">
        <v>29</v>
      </c>
      <c r="G248" s="13">
        <v>28.6</v>
      </c>
      <c r="H248" s="34">
        <v>26.5</v>
      </c>
      <c r="I248" s="13">
        <v>31.2</v>
      </c>
      <c r="J248" s="13">
        <v>22</v>
      </c>
      <c r="K248" s="79" t="s">
        <v>9</v>
      </c>
      <c r="L248" s="20">
        <v>43.75</v>
      </c>
      <c r="M248" s="16"/>
      <c r="N248" s="13">
        <v>1010.9375</v>
      </c>
      <c r="O248" s="8">
        <v>81.699665213306474</v>
      </c>
      <c r="P248" s="8">
        <v>68.408197590745274</v>
      </c>
      <c r="Q248" s="8">
        <v>70.839702663513549</v>
      </c>
      <c r="R248" s="8">
        <v>75.661807670217939</v>
      </c>
      <c r="S248" s="46">
        <v>3.5263157894736841</v>
      </c>
      <c r="T248" s="84">
        <v>190</v>
      </c>
      <c r="U248" s="46">
        <v>5</v>
      </c>
      <c r="V248" s="84">
        <v>0</v>
      </c>
    </row>
    <row r="249" spans="1:22" s="53" customFormat="1" x14ac:dyDescent="0.35">
      <c r="A249" s="2">
        <v>42891</v>
      </c>
      <c r="B249" s="3">
        <f t="shared" si="15"/>
        <v>2017</v>
      </c>
      <c r="C249" s="3">
        <f t="shared" si="16"/>
        <v>6</v>
      </c>
      <c r="D249" s="3">
        <f t="shared" si="17"/>
        <v>5</v>
      </c>
      <c r="E249" s="13">
        <v>23</v>
      </c>
      <c r="F249" s="13">
        <v>30.4</v>
      </c>
      <c r="G249" s="13">
        <v>29</v>
      </c>
      <c r="H249" s="34">
        <v>26.35</v>
      </c>
      <c r="I249" s="13">
        <v>31.2</v>
      </c>
      <c r="J249" s="13">
        <v>23</v>
      </c>
      <c r="K249" s="79" t="s">
        <v>9</v>
      </c>
      <c r="L249" s="20">
        <v>100</v>
      </c>
      <c r="M249" s="16"/>
      <c r="N249" s="13">
        <v>1010.8208333333333</v>
      </c>
      <c r="O249" s="8">
        <v>91.252080480913818</v>
      </c>
      <c r="P249" s="8">
        <v>59.324455376153942</v>
      </c>
      <c r="Q249" s="8">
        <v>72.433318426677701</v>
      </c>
      <c r="R249" s="8">
        <v>78.565483691164815</v>
      </c>
      <c r="S249" s="46">
        <v>4</v>
      </c>
      <c r="T249" s="84">
        <v>120</v>
      </c>
      <c r="U249" s="46">
        <v>7</v>
      </c>
      <c r="V249" s="84">
        <v>0</v>
      </c>
    </row>
    <row r="250" spans="1:22" s="53" customFormat="1" x14ac:dyDescent="0.35">
      <c r="A250" s="2">
        <v>42892</v>
      </c>
      <c r="B250" s="3">
        <f t="shared" si="15"/>
        <v>2017</v>
      </c>
      <c r="C250" s="3">
        <f t="shared" si="16"/>
        <v>6</v>
      </c>
      <c r="D250" s="3">
        <f t="shared" si="17"/>
        <v>6</v>
      </c>
      <c r="E250" s="13">
        <v>24.6</v>
      </c>
      <c r="F250" s="13">
        <v>31</v>
      </c>
      <c r="G250" s="13">
        <v>29</v>
      </c>
      <c r="H250" s="34">
        <v>27.3</v>
      </c>
      <c r="I250" s="13">
        <v>31.6</v>
      </c>
      <c r="J250" s="13">
        <v>24.6</v>
      </c>
      <c r="K250" s="79" t="s">
        <v>9</v>
      </c>
      <c r="L250" s="20">
        <v>100</v>
      </c>
      <c r="M250" s="16"/>
      <c r="N250" s="13">
        <v>1010.9791666666666</v>
      </c>
      <c r="O250" s="8">
        <v>91.582287896833918</v>
      </c>
      <c r="P250" s="8">
        <v>67.139962086941168</v>
      </c>
      <c r="Q250" s="8">
        <v>76.528885273615799</v>
      </c>
      <c r="R250" s="8">
        <v>81.708355788556204</v>
      </c>
      <c r="S250" s="46">
        <v>4.4782608695652177</v>
      </c>
      <c r="T250" s="84">
        <v>100</v>
      </c>
      <c r="U250" s="46">
        <v>8</v>
      </c>
      <c r="V250" s="84">
        <v>0</v>
      </c>
    </row>
    <row r="251" spans="1:22" s="53" customFormat="1" x14ac:dyDescent="0.35">
      <c r="A251" s="2">
        <v>42893</v>
      </c>
      <c r="B251" s="3">
        <f t="shared" si="15"/>
        <v>2017</v>
      </c>
      <c r="C251" s="3">
        <f t="shared" si="16"/>
        <v>6</v>
      </c>
      <c r="D251" s="3">
        <f t="shared" si="17"/>
        <v>7</v>
      </c>
      <c r="E251" s="13">
        <v>25</v>
      </c>
      <c r="F251" s="13">
        <v>31.2</v>
      </c>
      <c r="G251" s="13">
        <v>29.4</v>
      </c>
      <c r="H251" s="34">
        <v>27.65</v>
      </c>
      <c r="I251" s="13">
        <v>31.6</v>
      </c>
      <c r="J251" s="13">
        <v>25</v>
      </c>
      <c r="K251" s="79" t="s">
        <v>9</v>
      </c>
      <c r="L251" s="20">
        <v>100</v>
      </c>
      <c r="M251" s="16"/>
      <c r="N251" s="13">
        <v>1011.0250000000001</v>
      </c>
      <c r="O251" s="8">
        <v>91.663269833047266</v>
      </c>
      <c r="P251" s="8">
        <v>68.520668598317286</v>
      </c>
      <c r="Q251" s="8">
        <v>73.326868234849726</v>
      </c>
      <c r="R251" s="8">
        <v>81.29351912481539</v>
      </c>
      <c r="S251" s="46">
        <v>4.166666666666667</v>
      </c>
      <c r="T251" s="84">
        <v>350</v>
      </c>
      <c r="U251" s="46">
        <v>9</v>
      </c>
      <c r="V251" s="84">
        <v>0</v>
      </c>
    </row>
    <row r="252" spans="1:22" s="53" customFormat="1" x14ac:dyDescent="0.35">
      <c r="A252" s="2">
        <v>42894</v>
      </c>
      <c r="B252" s="3">
        <f t="shared" si="15"/>
        <v>2017</v>
      </c>
      <c r="C252" s="3">
        <f t="shared" si="16"/>
        <v>6</v>
      </c>
      <c r="D252" s="3">
        <f t="shared" si="17"/>
        <v>8</v>
      </c>
      <c r="E252" s="13">
        <v>25.2</v>
      </c>
      <c r="F252" s="13">
        <v>31.4</v>
      </c>
      <c r="G252" s="13">
        <v>29.5</v>
      </c>
      <c r="H252" s="34">
        <v>27.824999999999999</v>
      </c>
      <c r="I252" s="13">
        <v>31.6</v>
      </c>
      <c r="J252" s="13">
        <v>24.4</v>
      </c>
      <c r="K252" s="79" t="s">
        <v>9</v>
      </c>
      <c r="L252" s="20">
        <v>100</v>
      </c>
      <c r="M252" s="16"/>
      <c r="N252" s="13">
        <v>1010.7166666666666</v>
      </c>
      <c r="O252" s="8">
        <v>91.700597670458677</v>
      </c>
      <c r="P252" s="8">
        <v>70.528440931415219</v>
      </c>
      <c r="Q252" s="8">
        <v>77.457413790318981</v>
      </c>
      <c r="R252" s="8">
        <v>82.846762515662888</v>
      </c>
      <c r="S252" s="46">
        <v>4.1739130434782608</v>
      </c>
      <c r="T252" s="84">
        <v>150</v>
      </c>
      <c r="U252" s="46">
        <v>9</v>
      </c>
      <c r="V252" s="84">
        <v>0</v>
      </c>
    </row>
    <row r="253" spans="1:22" s="53" customFormat="1" x14ac:dyDescent="0.35">
      <c r="A253" s="2">
        <v>42895</v>
      </c>
      <c r="B253" s="3">
        <f t="shared" si="15"/>
        <v>2017</v>
      </c>
      <c r="C253" s="3">
        <f t="shared" si="16"/>
        <v>6</v>
      </c>
      <c r="D253" s="3">
        <f t="shared" si="17"/>
        <v>9</v>
      </c>
      <c r="E253" s="13">
        <v>24.4</v>
      </c>
      <c r="F253" s="13">
        <v>31.2</v>
      </c>
      <c r="G253" s="13">
        <v>29.2</v>
      </c>
      <c r="H253" s="34">
        <v>27.3</v>
      </c>
      <c r="I253" s="13">
        <v>31.8</v>
      </c>
      <c r="J253" s="13">
        <v>24.4</v>
      </c>
      <c r="K253" s="79" t="s">
        <v>9</v>
      </c>
      <c r="L253" s="20">
        <v>100</v>
      </c>
      <c r="M253" s="16"/>
      <c r="N253" s="13">
        <v>1010.5416666666666</v>
      </c>
      <c r="O253" s="8">
        <v>94.891014926746479</v>
      </c>
      <c r="P253" s="8">
        <v>67.272792868513591</v>
      </c>
      <c r="Q253" s="8">
        <v>80.80439195843438</v>
      </c>
      <c r="R253" s="8">
        <v>84.464803670110228</v>
      </c>
      <c r="S253" s="46">
        <v>5.0909090909090908</v>
      </c>
      <c r="T253" s="84">
        <v>160</v>
      </c>
      <c r="U253" s="46">
        <v>8</v>
      </c>
      <c r="V253" s="84">
        <v>0</v>
      </c>
    </row>
    <row r="254" spans="1:22" s="53" customFormat="1" x14ac:dyDescent="0.35">
      <c r="A254" s="2">
        <v>42896</v>
      </c>
      <c r="B254" s="3">
        <f t="shared" si="15"/>
        <v>2017</v>
      </c>
      <c r="C254" s="3">
        <f t="shared" si="16"/>
        <v>6</v>
      </c>
      <c r="D254" s="3">
        <f t="shared" si="17"/>
        <v>10</v>
      </c>
      <c r="E254" s="13">
        <v>24.6</v>
      </c>
      <c r="F254" s="13">
        <v>30.6</v>
      </c>
      <c r="G254" s="13">
        <v>29.6</v>
      </c>
      <c r="H254" s="34">
        <v>27.35</v>
      </c>
      <c r="I254" s="13">
        <v>31.6</v>
      </c>
      <c r="J254" s="13">
        <v>24</v>
      </c>
      <c r="K254" s="79" t="s">
        <v>9</v>
      </c>
      <c r="L254" s="22">
        <v>100</v>
      </c>
      <c r="M254" s="16"/>
      <c r="N254" s="13">
        <v>1010.8083333333333</v>
      </c>
      <c r="O254" s="8">
        <v>88.300798345927063</v>
      </c>
      <c r="P254" s="8">
        <v>69.421106758640292</v>
      </c>
      <c r="Q254" s="8">
        <v>72.769395233706888</v>
      </c>
      <c r="R254" s="8">
        <v>79.69802467105032</v>
      </c>
      <c r="S254" s="46">
        <v>4.333333333333333</v>
      </c>
      <c r="T254" s="84">
        <v>190</v>
      </c>
      <c r="U254" s="46">
        <v>10</v>
      </c>
      <c r="V254" s="84">
        <v>0</v>
      </c>
    </row>
    <row r="255" spans="1:22" s="53" customFormat="1" x14ac:dyDescent="0.35">
      <c r="A255" s="2">
        <v>42897</v>
      </c>
      <c r="B255" s="3">
        <f t="shared" si="15"/>
        <v>2017</v>
      </c>
      <c r="C255" s="3">
        <f t="shared" si="16"/>
        <v>6</v>
      </c>
      <c r="D255" s="3">
        <f t="shared" si="17"/>
        <v>11</v>
      </c>
      <c r="E255" s="13">
        <v>24.2</v>
      </c>
      <c r="F255" s="13">
        <v>31.4</v>
      </c>
      <c r="G255" s="13">
        <v>29.8</v>
      </c>
      <c r="H255" s="34">
        <v>27.4</v>
      </c>
      <c r="I255" s="13">
        <v>32.200000000000003</v>
      </c>
      <c r="J255" s="13">
        <v>24.2</v>
      </c>
      <c r="K255" s="79" t="s">
        <v>9</v>
      </c>
      <c r="L255" s="20">
        <v>100</v>
      </c>
      <c r="M255" s="16"/>
      <c r="N255" s="13">
        <v>1010.7375000000001</v>
      </c>
      <c r="O255" s="8">
        <v>88.19015051580314</v>
      </c>
      <c r="P255" s="8">
        <v>61.308122899635976</v>
      </c>
      <c r="Q255" s="8">
        <v>69.590225288854811</v>
      </c>
      <c r="R255" s="8">
        <v>76.819662305024266</v>
      </c>
      <c r="S255" s="46">
        <v>3.2608695652173911</v>
      </c>
      <c r="T255" s="84">
        <v>180</v>
      </c>
      <c r="U255" s="46">
        <v>5</v>
      </c>
      <c r="V255" s="84">
        <v>0</v>
      </c>
    </row>
    <row r="256" spans="1:22" s="53" customFormat="1" x14ac:dyDescent="0.35">
      <c r="A256" s="2">
        <v>42898</v>
      </c>
      <c r="B256" s="3">
        <f t="shared" si="15"/>
        <v>2017</v>
      </c>
      <c r="C256" s="3">
        <f t="shared" si="16"/>
        <v>6</v>
      </c>
      <c r="D256" s="3">
        <f t="shared" si="17"/>
        <v>12</v>
      </c>
      <c r="E256" s="13">
        <v>25.8</v>
      </c>
      <c r="F256" s="13">
        <v>29.8</v>
      </c>
      <c r="G256" s="13">
        <v>27.6</v>
      </c>
      <c r="H256" s="34">
        <v>27.25</v>
      </c>
      <c r="I256" s="13">
        <v>31</v>
      </c>
      <c r="J256" s="13">
        <v>24.4</v>
      </c>
      <c r="K256" s="79">
        <v>0</v>
      </c>
      <c r="L256" s="22">
        <v>31.25</v>
      </c>
      <c r="M256" s="16"/>
      <c r="N256" s="13">
        <v>1011.4124999999999</v>
      </c>
      <c r="O256" s="8">
        <v>90.213854954147351</v>
      </c>
      <c r="P256" s="8">
        <v>74.209594047836404</v>
      </c>
      <c r="Q256" s="8">
        <v>81.60066086715139</v>
      </c>
      <c r="R256" s="8">
        <v>84.059491205820621</v>
      </c>
      <c r="S256" s="46">
        <v>4.4545454545454541</v>
      </c>
      <c r="T256" s="84">
        <v>100</v>
      </c>
      <c r="U256" s="46">
        <v>9</v>
      </c>
      <c r="V256" s="84">
        <v>0</v>
      </c>
    </row>
    <row r="257" spans="1:22" s="53" customFormat="1" x14ac:dyDescent="0.35">
      <c r="A257" s="2">
        <v>42899</v>
      </c>
      <c r="B257" s="3">
        <f t="shared" si="15"/>
        <v>2017</v>
      </c>
      <c r="C257" s="3">
        <f t="shared" si="16"/>
        <v>6</v>
      </c>
      <c r="D257" s="3">
        <f t="shared" si="17"/>
        <v>13</v>
      </c>
      <c r="E257" s="13">
        <v>25</v>
      </c>
      <c r="F257" s="13">
        <v>29.4</v>
      </c>
      <c r="G257" s="13">
        <v>28.2</v>
      </c>
      <c r="H257" s="34">
        <v>26.900000000000002</v>
      </c>
      <c r="I257" s="13">
        <v>29.8</v>
      </c>
      <c r="J257" s="13">
        <v>25</v>
      </c>
      <c r="K257" s="79" t="s">
        <v>9</v>
      </c>
      <c r="L257" s="20">
        <v>0.5</v>
      </c>
      <c r="M257" s="16"/>
      <c r="N257" s="13">
        <v>1012.0333333333334</v>
      </c>
      <c r="O257" s="8">
        <v>93.30430200437371</v>
      </c>
      <c r="P257" s="8">
        <v>76.706877434513203</v>
      </c>
      <c r="Q257" s="8">
        <v>80.389639079633497</v>
      </c>
      <c r="R257" s="8">
        <v>85.926280130723541</v>
      </c>
      <c r="S257" s="46">
        <v>5.7692307692307692</v>
      </c>
      <c r="T257" s="84">
        <v>100</v>
      </c>
      <c r="U257" s="46">
        <v>10</v>
      </c>
      <c r="V257" s="84">
        <v>0</v>
      </c>
    </row>
    <row r="258" spans="1:22" s="53" customFormat="1" x14ac:dyDescent="0.35">
      <c r="A258" s="2">
        <v>42900</v>
      </c>
      <c r="B258" s="3">
        <f t="shared" si="15"/>
        <v>2017</v>
      </c>
      <c r="C258" s="3">
        <f t="shared" si="16"/>
        <v>6</v>
      </c>
      <c r="D258" s="3">
        <f t="shared" si="17"/>
        <v>14</v>
      </c>
      <c r="E258" s="13">
        <v>25.4</v>
      </c>
      <c r="F258" s="13">
        <v>30.2</v>
      </c>
      <c r="G258" s="13">
        <v>29.2</v>
      </c>
      <c r="H258" s="34">
        <v>27.55</v>
      </c>
      <c r="I258" s="13">
        <v>31.4</v>
      </c>
      <c r="J258" s="13">
        <v>25.4</v>
      </c>
      <c r="K258" s="79" t="s">
        <v>9</v>
      </c>
      <c r="L258" s="20">
        <v>67.5</v>
      </c>
      <c r="M258" s="16"/>
      <c r="N258" s="13">
        <v>1011.4625000000002</v>
      </c>
      <c r="O258" s="8">
        <v>92.549665241149711</v>
      </c>
      <c r="P258" s="8">
        <v>70.467292849232024</v>
      </c>
      <c r="Q258" s="8">
        <v>71.194623262566751</v>
      </c>
      <c r="R258" s="8">
        <v>81.690311648524556</v>
      </c>
      <c r="S258" s="46">
        <v>5.208333333333333</v>
      </c>
      <c r="T258" s="84">
        <v>150</v>
      </c>
      <c r="U258" s="46">
        <v>12</v>
      </c>
      <c r="V258" s="84">
        <v>0</v>
      </c>
    </row>
    <row r="259" spans="1:22" s="53" customFormat="1" x14ac:dyDescent="0.35">
      <c r="A259" s="2">
        <v>42901</v>
      </c>
      <c r="B259" s="3">
        <f t="shared" si="15"/>
        <v>2017</v>
      </c>
      <c r="C259" s="3">
        <f t="shared" si="16"/>
        <v>6</v>
      </c>
      <c r="D259" s="3">
        <f t="shared" si="17"/>
        <v>15</v>
      </c>
      <c r="E259" s="13">
        <v>25.8</v>
      </c>
      <c r="F259" s="13">
        <v>29.8</v>
      </c>
      <c r="G259" s="13">
        <v>29.2</v>
      </c>
      <c r="H259" s="34">
        <v>27.650000000000002</v>
      </c>
      <c r="I259" s="13">
        <v>31</v>
      </c>
      <c r="J259" s="13">
        <v>24.3</v>
      </c>
      <c r="K259" s="83" t="s">
        <v>9</v>
      </c>
      <c r="L259" s="20">
        <v>65</v>
      </c>
      <c r="M259" s="16"/>
      <c r="N259" s="13">
        <v>1011.1083333333332</v>
      </c>
      <c r="O259" s="8">
        <v>91.81457305985073</v>
      </c>
      <c r="P259" s="8">
        <v>71.543480019920963</v>
      </c>
      <c r="Q259" s="8">
        <v>73.890675936137768</v>
      </c>
      <c r="R259" s="8">
        <v>82.265825518940048</v>
      </c>
      <c r="S259" s="46">
        <v>4.3499999999999996</v>
      </c>
      <c r="T259" s="84">
        <v>50</v>
      </c>
      <c r="U259" s="46">
        <v>8</v>
      </c>
      <c r="V259" s="84">
        <v>0</v>
      </c>
    </row>
    <row r="260" spans="1:22" s="53" customFormat="1" x14ac:dyDescent="0.35">
      <c r="A260" s="2">
        <v>42902</v>
      </c>
      <c r="B260" s="3">
        <f t="shared" si="15"/>
        <v>2017</v>
      </c>
      <c r="C260" s="3">
        <f t="shared" si="16"/>
        <v>6</v>
      </c>
      <c r="D260" s="3">
        <f t="shared" si="17"/>
        <v>16</v>
      </c>
      <c r="E260" s="13">
        <v>25.2</v>
      </c>
      <c r="F260" s="13">
        <v>31</v>
      </c>
      <c r="G260" s="13">
        <v>29</v>
      </c>
      <c r="H260" s="34">
        <v>27.6</v>
      </c>
      <c r="I260" s="13">
        <v>31.4</v>
      </c>
      <c r="J260" s="13">
        <v>24.8</v>
      </c>
      <c r="K260" s="79">
        <v>0</v>
      </c>
      <c r="L260" s="20">
        <v>100</v>
      </c>
      <c r="M260" s="16"/>
      <c r="N260" s="13">
        <v>1010.9750000000003</v>
      </c>
      <c r="O260" s="8">
        <v>92.515478353899312</v>
      </c>
      <c r="P260" s="8">
        <v>65.897193828450028</v>
      </c>
      <c r="Q260" s="8">
        <v>76.530789353685691</v>
      </c>
      <c r="R260" s="8">
        <v>81.864734972483589</v>
      </c>
      <c r="S260" s="46">
        <v>5.4210526315789478</v>
      </c>
      <c r="T260" s="84">
        <v>80</v>
      </c>
      <c r="U260" s="46">
        <v>10</v>
      </c>
      <c r="V260" s="84">
        <v>0</v>
      </c>
    </row>
    <row r="261" spans="1:22" s="53" customFormat="1" x14ac:dyDescent="0.35">
      <c r="A261" s="2">
        <v>42903</v>
      </c>
      <c r="B261" s="3">
        <f t="shared" si="15"/>
        <v>2017</v>
      </c>
      <c r="C261" s="3">
        <f t="shared" si="16"/>
        <v>6</v>
      </c>
      <c r="D261" s="3">
        <f t="shared" si="17"/>
        <v>17</v>
      </c>
      <c r="E261" s="13">
        <v>24.8</v>
      </c>
      <c r="F261" s="13">
        <v>30.8</v>
      </c>
      <c r="G261" s="13">
        <v>29.2</v>
      </c>
      <c r="H261" s="34">
        <v>27.400000000000002</v>
      </c>
      <c r="I261" s="13">
        <v>31.2</v>
      </c>
      <c r="J261" s="13">
        <v>21.8</v>
      </c>
      <c r="K261" s="79" t="s">
        <v>9</v>
      </c>
      <c r="L261" s="20">
        <v>100</v>
      </c>
      <c r="M261" s="16"/>
      <c r="N261" s="13">
        <v>1010.1958333333336</v>
      </c>
      <c r="O261" s="8">
        <v>91.623263184745909</v>
      </c>
      <c r="P261" s="8">
        <v>67.015164115955045</v>
      </c>
      <c r="Q261" s="8">
        <v>67.244894648651695</v>
      </c>
      <c r="R261" s="8">
        <v>79.37664628352465</v>
      </c>
      <c r="S261" s="46">
        <v>5.25</v>
      </c>
      <c r="T261" s="85">
        <v>90</v>
      </c>
      <c r="U261" s="46">
        <v>10</v>
      </c>
      <c r="V261" s="84">
        <v>0</v>
      </c>
    </row>
    <row r="262" spans="1:22" s="53" customFormat="1" x14ac:dyDescent="0.35">
      <c r="A262" s="2">
        <v>42904</v>
      </c>
      <c r="B262" s="3">
        <f t="shared" si="15"/>
        <v>2017</v>
      </c>
      <c r="C262" s="3">
        <f t="shared" si="16"/>
        <v>6</v>
      </c>
      <c r="D262" s="3">
        <f t="shared" si="17"/>
        <v>18</v>
      </c>
      <c r="E262" s="13">
        <v>22</v>
      </c>
      <c r="F262" s="13">
        <v>30.4</v>
      </c>
      <c r="G262" s="13">
        <v>29.2</v>
      </c>
      <c r="H262" s="34">
        <v>25.900000000000002</v>
      </c>
      <c r="I262" s="13">
        <v>31.2</v>
      </c>
      <c r="J262" s="13">
        <v>22</v>
      </c>
      <c r="K262" s="79" t="s">
        <v>9</v>
      </c>
      <c r="L262" s="20">
        <v>100</v>
      </c>
      <c r="M262" s="16"/>
      <c r="N262" s="13">
        <v>1010.0833333333334</v>
      </c>
      <c r="O262" s="8">
        <v>85.801006620878084</v>
      </c>
      <c r="P262" s="8">
        <v>53.38327441916779</v>
      </c>
      <c r="Q262" s="8">
        <v>58.319425008155193</v>
      </c>
      <c r="R262" s="8">
        <v>70.826178167269788</v>
      </c>
      <c r="S262" s="46">
        <v>4.541666666666667</v>
      </c>
      <c r="T262" s="84">
        <v>200</v>
      </c>
      <c r="U262" s="46">
        <v>9</v>
      </c>
      <c r="V262" s="84">
        <v>0</v>
      </c>
    </row>
    <row r="263" spans="1:22" s="53" customFormat="1" x14ac:dyDescent="0.35">
      <c r="A263" s="2">
        <v>42905</v>
      </c>
      <c r="B263" s="3">
        <f t="shared" si="15"/>
        <v>2017</v>
      </c>
      <c r="C263" s="3">
        <f t="shared" si="16"/>
        <v>6</v>
      </c>
      <c r="D263" s="3">
        <f t="shared" si="17"/>
        <v>19</v>
      </c>
      <c r="E263" s="13">
        <v>21.4</v>
      </c>
      <c r="F263" s="13">
        <v>31</v>
      </c>
      <c r="G263" s="13">
        <v>28.9</v>
      </c>
      <c r="H263" s="34">
        <v>25.674999999999997</v>
      </c>
      <c r="I263" s="13">
        <v>31.4</v>
      </c>
      <c r="J263" s="13">
        <v>21.4</v>
      </c>
      <c r="K263" s="79" t="s">
        <v>9</v>
      </c>
      <c r="L263" s="20">
        <v>96.25</v>
      </c>
      <c r="M263" s="16" t="s">
        <v>15</v>
      </c>
      <c r="N263" s="13">
        <v>1010.0583333333334</v>
      </c>
      <c r="O263" s="8">
        <v>92.687850471760186</v>
      </c>
      <c r="P263" s="8">
        <v>55.090928248825236</v>
      </c>
      <c r="Q263" s="8">
        <v>73.057280912623085</v>
      </c>
      <c r="R263" s="8">
        <v>78.380977526242177</v>
      </c>
      <c r="S263" s="46">
        <v>3.347826086956522</v>
      </c>
      <c r="T263" s="84">
        <v>200</v>
      </c>
      <c r="U263" s="46">
        <v>6</v>
      </c>
      <c r="V263" s="84">
        <v>0</v>
      </c>
    </row>
    <row r="264" spans="1:22" s="53" customFormat="1" x14ac:dyDescent="0.35">
      <c r="A264" s="2">
        <v>42906</v>
      </c>
      <c r="B264" s="3">
        <f t="shared" si="15"/>
        <v>2017</v>
      </c>
      <c r="C264" s="3">
        <f t="shared" si="16"/>
        <v>6</v>
      </c>
      <c r="D264" s="3">
        <f t="shared" si="17"/>
        <v>20</v>
      </c>
      <c r="E264" s="13">
        <v>24.1</v>
      </c>
      <c r="F264" s="13">
        <v>30</v>
      </c>
      <c r="G264" s="13">
        <v>29.2</v>
      </c>
      <c r="H264" s="34">
        <v>26.85</v>
      </c>
      <c r="I264" s="13">
        <v>31.4</v>
      </c>
      <c r="J264" s="13">
        <v>24.1</v>
      </c>
      <c r="K264" s="79" t="s">
        <v>9</v>
      </c>
      <c r="L264" s="20">
        <v>90</v>
      </c>
      <c r="M264" s="16" t="s">
        <v>15</v>
      </c>
      <c r="N264" s="13">
        <v>1010.2791666666667</v>
      </c>
      <c r="O264" s="8">
        <v>87.342765641910475</v>
      </c>
      <c r="P264" s="8">
        <v>63.950349414958175</v>
      </c>
      <c r="Q264" s="8">
        <v>72.549726610109417</v>
      </c>
      <c r="R264" s="8">
        <v>77.796401827222127</v>
      </c>
      <c r="S264" s="46">
        <v>4.0999999999999996</v>
      </c>
      <c r="T264" s="84">
        <v>70</v>
      </c>
      <c r="U264" s="46">
        <v>6</v>
      </c>
      <c r="V264" s="84">
        <v>0</v>
      </c>
    </row>
    <row r="265" spans="1:22" s="53" customFormat="1" x14ac:dyDescent="0.35">
      <c r="A265" s="2">
        <v>42907</v>
      </c>
      <c r="B265" s="3">
        <f t="shared" si="15"/>
        <v>2017</v>
      </c>
      <c r="C265" s="3">
        <f t="shared" si="16"/>
        <v>6</v>
      </c>
      <c r="D265" s="3">
        <f t="shared" si="17"/>
        <v>21</v>
      </c>
      <c r="E265" s="13">
        <v>24.6</v>
      </c>
      <c r="F265" s="13">
        <v>29.4</v>
      </c>
      <c r="G265" s="13">
        <v>28.4</v>
      </c>
      <c r="H265" s="34">
        <v>26.75</v>
      </c>
      <c r="I265" s="13">
        <v>30.4</v>
      </c>
      <c r="J265" s="13">
        <v>24.6</v>
      </c>
      <c r="K265" s="79" t="s">
        <v>9</v>
      </c>
      <c r="L265" s="20">
        <v>37.5</v>
      </c>
      <c r="M265" s="16" t="s">
        <v>10</v>
      </c>
      <c r="N265" s="13">
        <v>1011.3416666666667</v>
      </c>
      <c r="O265" s="8">
        <v>85.06972939541032</v>
      </c>
      <c r="P265" s="8">
        <v>69.985455958547476</v>
      </c>
      <c r="Q265" s="8">
        <v>77.635649526996914</v>
      </c>
      <c r="R265" s="8">
        <v>79.440141069091254</v>
      </c>
      <c r="S265" s="46">
        <v>6.7826086956521738</v>
      </c>
      <c r="T265" s="84">
        <v>110</v>
      </c>
      <c r="U265" s="46">
        <v>15</v>
      </c>
      <c r="V265" s="84">
        <v>0</v>
      </c>
    </row>
    <row r="266" spans="1:22" s="53" customFormat="1" x14ac:dyDescent="0.35">
      <c r="A266" s="2">
        <v>42908</v>
      </c>
      <c r="B266" s="3">
        <f t="shared" si="15"/>
        <v>2017</v>
      </c>
      <c r="C266" s="3">
        <f t="shared" si="16"/>
        <v>6</v>
      </c>
      <c r="D266" s="3">
        <f t="shared" si="17"/>
        <v>22</v>
      </c>
      <c r="E266" s="13">
        <v>25.4</v>
      </c>
      <c r="F266" s="13">
        <v>29.8</v>
      </c>
      <c r="G266" s="13">
        <v>25.2</v>
      </c>
      <c r="H266" s="34">
        <v>26.45</v>
      </c>
      <c r="I266" s="13">
        <v>30.2</v>
      </c>
      <c r="J266" s="13">
        <v>24.7</v>
      </c>
      <c r="K266" s="79">
        <v>0.5</v>
      </c>
      <c r="L266" s="20">
        <v>15</v>
      </c>
      <c r="M266" s="16" t="s">
        <v>15</v>
      </c>
      <c r="N266" s="13">
        <v>1011.2708333333334</v>
      </c>
      <c r="O266" s="8">
        <v>90.929035768439476</v>
      </c>
      <c r="P266" s="8">
        <v>68.920544541058646</v>
      </c>
      <c r="Q266" s="8">
        <v>93.339023747863095</v>
      </c>
      <c r="R266" s="8">
        <v>86.029409956450181</v>
      </c>
      <c r="S266" s="46">
        <v>5.0909090909090908</v>
      </c>
      <c r="T266" s="84">
        <v>130</v>
      </c>
      <c r="U266" s="46">
        <v>12</v>
      </c>
      <c r="V266" s="84">
        <v>0</v>
      </c>
    </row>
    <row r="267" spans="1:22" s="53" customFormat="1" x14ac:dyDescent="0.35">
      <c r="A267" s="2">
        <v>42909</v>
      </c>
      <c r="B267" s="3">
        <f t="shared" si="15"/>
        <v>2017</v>
      </c>
      <c r="C267" s="3">
        <f t="shared" si="16"/>
        <v>6</v>
      </c>
      <c r="D267" s="3">
        <f t="shared" si="17"/>
        <v>23</v>
      </c>
      <c r="E267" s="13">
        <v>25.4</v>
      </c>
      <c r="F267" s="13">
        <v>30.1</v>
      </c>
      <c r="G267" s="13">
        <v>28.7</v>
      </c>
      <c r="H267" s="34">
        <v>27.400000000000002</v>
      </c>
      <c r="I267" s="13">
        <v>31.4</v>
      </c>
      <c r="J267" s="13">
        <v>23</v>
      </c>
      <c r="K267" s="79" t="s">
        <v>9</v>
      </c>
      <c r="L267" s="20">
        <v>100</v>
      </c>
      <c r="M267" s="16" t="s">
        <v>15</v>
      </c>
      <c r="N267" s="13">
        <v>1009.8208333333336</v>
      </c>
      <c r="O267" s="8">
        <v>93.36901080025585</v>
      </c>
      <c r="P267" s="8">
        <v>67.828537768092517</v>
      </c>
      <c r="Q267" s="8">
        <v>76.389324537661537</v>
      </c>
      <c r="R267" s="8">
        <v>82.738970976566435</v>
      </c>
      <c r="S267" s="46">
        <v>4.1428571428571432</v>
      </c>
      <c r="T267" s="84">
        <v>50</v>
      </c>
      <c r="U267" s="46">
        <v>7</v>
      </c>
      <c r="V267" s="84">
        <v>0</v>
      </c>
    </row>
    <row r="268" spans="1:22" s="53" customFormat="1" x14ac:dyDescent="0.35">
      <c r="A268" s="2">
        <v>42910</v>
      </c>
      <c r="B268" s="3">
        <f t="shared" si="15"/>
        <v>2017</v>
      </c>
      <c r="C268" s="3">
        <f t="shared" si="16"/>
        <v>6</v>
      </c>
      <c r="D268" s="3">
        <f t="shared" si="17"/>
        <v>24</v>
      </c>
      <c r="E268" s="13">
        <v>23.8</v>
      </c>
      <c r="F268" s="13">
        <v>30</v>
      </c>
      <c r="G268" s="13">
        <v>28.6</v>
      </c>
      <c r="H268" s="34">
        <v>26.549999999999997</v>
      </c>
      <c r="I268" s="13">
        <v>30.5</v>
      </c>
      <c r="J268" s="13">
        <v>23.8</v>
      </c>
      <c r="K268" s="79">
        <v>7.5</v>
      </c>
      <c r="L268" s="20">
        <v>6.25</v>
      </c>
      <c r="M268" s="16" t="s">
        <v>15</v>
      </c>
      <c r="N268" s="13">
        <v>1010.1958333333332</v>
      </c>
      <c r="O268" s="8">
        <v>93.117938824600543</v>
      </c>
      <c r="P268" s="8">
        <v>70.356542084124456</v>
      </c>
      <c r="Q268" s="8">
        <v>73.568965353972942</v>
      </c>
      <c r="R268" s="8">
        <v>82.540346271824617</v>
      </c>
      <c r="S268" s="46">
        <v>5.882352941176471</v>
      </c>
      <c r="T268" s="84">
        <v>100</v>
      </c>
      <c r="U268" s="46">
        <v>12</v>
      </c>
      <c r="V268" s="84">
        <v>0</v>
      </c>
    </row>
    <row r="269" spans="1:22" s="53" customFormat="1" x14ac:dyDescent="0.35">
      <c r="A269" s="2">
        <v>42911</v>
      </c>
      <c r="B269" s="3">
        <f t="shared" si="15"/>
        <v>2017</v>
      </c>
      <c r="C269" s="3">
        <f t="shared" si="16"/>
        <v>6</v>
      </c>
      <c r="D269" s="3">
        <f t="shared" si="17"/>
        <v>25</v>
      </c>
      <c r="E269" s="13">
        <v>24</v>
      </c>
      <c r="F269" s="13">
        <v>29.8</v>
      </c>
      <c r="G269" s="13">
        <v>28.6</v>
      </c>
      <c r="H269" s="34">
        <v>26.6</v>
      </c>
      <c r="I269" s="13">
        <v>30.8</v>
      </c>
      <c r="J269" s="13">
        <v>24</v>
      </c>
      <c r="K269" s="79" t="s">
        <v>9</v>
      </c>
      <c r="L269" s="20">
        <v>93.75</v>
      </c>
      <c r="M269" s="16" t="s">
        <v>15</v>
      </c>
      <c r="N269" s="13">
        <v>1010.1499999999997</v>
      </c>
      <c r="O269" s="8">
        <v>95.695140790792721</v>
      </c>
      <c r="P269" s="8">
        <v>75.557188619375353</v>
      </c>
      <c r="Q269" s="8">
        <v>79.144647393997332</v>
      </c>
      <c r="R269" s="8">
        <v>86.523029398739524</v>
      </c>
      <c r="S269" s="46">
        <v>5.0714285714285712</v>
      </c>
      <c r="T269" s="84">
        <v>40</v>
      </c>
      <c r="U269" s="46">
        <v>9</v>
      </c>
      <c r="V269" s="84">
        <v>0</v>
      </c>
    </row>
    <row r="270" spans="1:22" s="53" customFormat="1" x14ac:dyDescent="0.35">
      <c r="A270" s="2">
        <v>42912</v>
      </c>
      <c r="B270" s="3">
        <f t="shared" si="15"/>
        <v>2017</v>
      </c>
      <c r="C270" s="3">
        <f t="shared" si="16"/>
        <v>6</v>
      </c>
      <c r="D270" s="3">
        <f t="shared" si="17"/>
        <v>26</v>
      </c>
      <c r="E270" s="13">
        <v>25.2</v>
      </c>
      <c r="F270" s="13">
        <v>30.4</v>
      </c>
      <c r="G270" s="13">
        <v>28.4</v>
      </c>
      <c r="H270" s="34">
        <v>27.299999999999997</v>
      </c>
      <c r="I270" s="13">
        <v>31.2</v>
      </c>
      <c r="J270" s="13">
        <v>24.4</v>
      </c>
      <c r="K270" s="79" t="s">
        <v>9</v>
      </c>
      <c r="L270" s="20">
        <v>100</v>
      </c>
      <c r="M270" s="16" t="s">
        <v>15</v>
      </c>
      <c r="N270" s="13">
        <v>1011.1624999999999</v>
      </c>
      <c r="O270" s="8">
        <v>93.336446267637442</v>
      </c>
      <c r="P270" s="8">
        <v>70.585475049849848</v>
      </c>
      <c r="Q270" s="8">
        <v>80.477258427662832</v>
      </c>
      <c r="R270" s="8">
        <v>84.433906503196894</v>
      </c>
      <c r="S270" s="46">
        <v>5.3809523809523814</v>
      </c>
      <c r="T270" s="84">
        <v>60</v>
      </c>
      <c r="U270" s="46">
        <v>8</v>
      </c>
      <c r="V270" s="84">
        <v>0</v>
      </c>
    </row>
    <row r="271" spans="1:22" s="53" customFormat="1" x14ac:dyDescent="0.35">
      <c r="A271" s="2">
        <v>42913</v>
      </c>
      <c r="B271" s="3">
        <f t="shared" si="15"/>
        <v>2017</v>
      </c>
      <c r="C271" s="3">
        <f t="shared" si="16"/>
        <v>6</v>
      </c>
      <c r="D271" s="3">
        <f t="shared" si="17"/>
        <v>27</v>
      </c>
      <c r="E271" s="13">
        <v>24.4</v>
      </c>
      <c r="F271" s="13">
        <v>30.4</v>
      </c>
      <c r="G271" s="13">
        <v>29</v>
      </c>
      <c r="H271" s="34">
        <v>27.049999999999997</v>
      </c>
      <c r="I271" s="13">
        <v>31.4</v>
      </c>
      <c r="J271" s="13">
        <v>23.2</v>
      </c>
      <c r="K271" s="79">
        <v>11.1</v>
      </c>
      <c r="L271" s="20">
        <v>100</v>
      </c>
      <c r="M271" s="16" t="s">
        <v>10</v>
      </c>
      <c r="N271" s="13">
        <v>1011.5541666666668</v>
      </c>
      <c r="O271" s="8">
        <v>88.245595741688206</v>
      </c>
      <c r="P271" s="8">
        <v>69.294081577002544</v>
      </c>
      <c r="Q271" s="8">
        <v>72.418998157818677</v>
      </c>
      <c r="R271" s="8">
        <v>79.551067804549405</v>
      </c>
      <c r="S271" s="46">
        <v>4.8499999999999996</v>
      </c>
      <c r="T271" s="84">
        <v>180</v>
      </c>
      <c r="U271" s="46">
        <v>10</v>
      </c>
      <c r="V271" s="84">
        <v>0</v>
      </c>
    </row>
    <row r="272" spans="1:22" s="53" customFormat="1" x14ac:dyDescent="0.35">
      <c r="A272" s="2">
        <v>42914</v>
      </c>
      <c r="B272" s="3">
        <f t="shared" si="15"/>
        <v>2017</v>
      </c>
      <c r="C272" s="3">
        <f t="shared" si="16"/>
        <v>6</v>
      </c>
      <c r="D272" s="3">
        <f t="shared" si="17"/>
        <v>28</v>
      </c>
      <c r="E272" s="13">
        <v>23.6</v>
      </c>
      <c r="F272" s="13">
        <v>29.8</v>
      </c>
      <c r="G272" s="13">
        <v>28.6</v>
      </c>
      <c r="H272" s="34">
        <v>26.4</v>
      </c>
      <c r="I272" s="13">
        <v>30.4</v>
      </c>
      <c r="J272" s="13">
        <v>23.5</v>
      </c>
      <c r="K272" s="18" t="s">
        <v>9</v>
      </c>
      <c r="L272" s="20">
        <v>100</v>
      </c>
      <c r="M272" s="16" t="s">
        <v>15</v>
      </c>
      <c r="N272" s="13">
        <v>1011.1250000000001</v>
      </c>
      <c r="O272" s="8">
        <v>96.514265828967623</v>
      </c>
      <c r="P272" s="8">
        <v>74.204139117181157</v>
      </c>
      <c r="Q272" s="8">
        <v>73.564580839500209</v>
      </c>
      <c r="R272" s="8">
        <v>85.199312903654146</v>
      </c>
      <c r="S272" s="46">
        <v>4.8181818181818183</v>
      </c>
      <c r="T272" s="84">
        <v>40</v>
      </c>
      <c r="U272" s="46">
        <v>10</v>
      </c>
      <c r="V272" s="84">
        <v>0</v>
      </c>
    </row>
    <row r="273" spans="1:22" s="53" customFormat="1" x14ac:dyDescent="0.35">
      <c r="A273" s="2">
        <v>42915</v>
      </c>
      <c r="B273" s="3">
        <f t="shared" si="15"/>
        <v>2017</v>
      </c>
      <c r="C273" s="3">
        <f t="shared" si="16"/>
        <v>6</v>
      </c>
      <c r="D273" s="3">
        <f t="shared" si="17"/>
        <v>29</v>
      </c>
      <c r="E273" s="13">
        <v>23.5</v>
      </c>
      <c r="F273" s="13">
        <v>30</v>
      </c>
      <c r="G273" s="13">
        <v>28.6</v>
      </c>
      <c r="H273" s="34">
        <v>26.4</v>
      </c>
      <c r="I273" s="13">
        <v>31.2</v>
      </c>
      <c r="J273" s="13">
        <v>22.5</v>
      </c>
      <c r="K273" s="79" t="s">
        <v>9</v>
      </c>
      <c r="L273" s="20">
        <v>100</v>
      </c>
      <c r="M273" s="16" t="s">
        <v>15</v>
      </c>
      <c r="N273" s="13">
        <v>1010.6</v>
      </c>
      <c r="O273" s="8">
        <v>92.208461155073607</v>
      </c>
      <c r="P273" s="8">
        <v>65.211075400943102</v>
      </c>
      <c r="Q273" s="8">
        <v>76.335854068966285</v>
      </c>
      <c r="R273" s="8">
        <v>81.490962945014147</v>
      </c>
      <c r="S273" s="46">
        <v>6.0588235294117645</v>
      </c>
      <c r="T273" s="84">
        <v>50</v>
      </c>
      <c r="U273" s="46">
        <v>11</v>
      </c>
      <c r="V273" s="84">
        <v>0</v>
      </c>
    </row>
    <row r="274" spans="1:22" s="53" customFormat="1" x14ac:dyDescent="0.35">
      <c r="A274" s="2">
        <v>42916</v>
      </c>
      <c r="B274" s="3">
        <f t="shared" si="15"/>
        <v>2017</v>
      </c>
      <c r="C274" s="3">
        <f t="shared" si="16"/>
        <v>6</v>
      </c>
      <c r="D274" s="3">
        <f t="shared" si="17"/>
        <v>30</v>
      </c>
      <c r="E274" s="13">
        <v>22.5</v>
      </c>
      <c r="F274" s="13">
        <v>30.4</v>
      </c>
      <c r="G274" s="13">
        <v>29.4</v>
      </c>
      <c r="H274" s="34">
        <v>26.200000000000003</v>
      </c>
      <c r="I274" s="13">
        <v>31</v>
      </c>
      <c r="J274" s="13">
        <v>22.5</v>
      </c>
      <c r="K274" s="79" t="s">
        <v>9</v>
      </c>
      <c r="L274" s="20">
        <v>0</v>
      </c>
      <c r="M274" s="16" t="s">
        <v>15</v>
      </c>
      <c r="N274" s="13">
        <v>1010.4291666666668</v>
      </c>
      <c r="O274" s="8">
        <v>92.01515380768447</v>
      </c>
      <c r="P274" s="8">
        <v>61.765542368650841</v>
      </c>
      <c r="Q274" s="8">
        <v>68.685771350487784</v>
      </c>
      <c r="R274" s="8">
        <v>78.620405333626891</v>
      </c>
      <c r="S274" s="46">
        <v>4.666666666666667</v>
      </c>
      <c r="T274" s="84">
        <v>50</v>
      </c>
      <c r="U274" s="46">
        <v>10</v>
      </c>
      <c r="V274" s="84">
        <v>0</v>
      </c>
    </row>
    <row r="275" spans="1:22" s="53" customFormat="1" x14ac:dyDescent="0.35">
      <c r="A275" s="2">
        <v>42917</v>
      </c>
      <c r="B275" s="3">
        <f t="shared" si="15"/>
        <v>2017</v>
      </c>
      <c r="C275" s="3">
        <f t="shared" si="16"/>
        <v>7</v>
      </c>
      <c r="D275" s="3">
        <f t="shared" si="17"/>
        <v>1</v>
      </c>
      <c r="E275" s="4">
        <v>25</v>
      </c>
      <c r="F275" s="4">
        <v>30.6</v>
      </c>
      <c r="G275" s="4">
        <v>29.2</v>
      </c>
      <c r="H275" s="34">
        <v>27.45</v>
      </c>
      <c r="I275" s="23">
        <v>31.2</v>
      </c>
      <c r="J275" s="23">
        <v>23.8</v>
      </c>
      <c r="K275" s="25">
        <v>0</v>
      </c>
      <c r="L275" s="25">
        <v>100</v>
      </c>
      <c r="M275" s="16" t="s">
        <v>15</v>
      </c>
      <c r="N275" s="13">
        <v>1010.5875000000002</v>
      </c>
      <c r="O275" s="8">
        <v>100</v>
      </c>
      <c r="P275" s="8">
        <v>63.142543289909682</v>
      </c>
      <c r="Q275" s="8">
        <v>73.896322586383107</v>
      </c>
      <c r="R275" s="8">
        <v>84.259716469073197</v>
      </c>
      <c r="S275" s="8">
        <v>6.2941176470588234</v>
      </c>
      <c r="T275" s="6">
        <v>70</v>
      </c>
      <c r="U275" s="20">
        <v>10</v>
      </c>
      <c r="V275" s="12">
        <v>0</v>
      </c>
    </row>
    <row r="276" spans="1:22" s="53" customFormat="1" x14ac:dyDescent="0.35">
      <c r="A276" s="2">
        <v>42918</v>
      </c>
      <c r="B276" s="3">
        <f t="shared" si="15"/>
        <v>2017</v>
      </c>
      <c r="C276" s="3">
        <f t="shared" si="16"/>
        <v>7</v>
      </c>
      <c r="D276" s="3">
        <f t="shared" si="17"/>
        <v>2</v>
      </c>
      <c r="E276" s="4">
        <v>25</v>
      </c>
      <c r="F276" s="4">
        <v>30.2</v>
      </c>
      <c r="G276" s="4">
        <v>28.8</v>
      </c>
      <c r="H276" s="34">
        <v>27.25</v>
      </c>
      <c r="I276" s="23">
        <v>31.6</v>
      </c>
      <c r="J276" s="23">
        <v>23.8</v>
      </c>
      <c r="K276" s="25" t="s">
        <v>9</v>
      </c>
      <c r="L276" s="25">
        <v>100</v>
      </c>
      <c r="M276" s="16" t="s">
        <v>15</v>
      </c>
      <c r="N276" s="13">
        <v>1011.0875</v>
      </c>
      <c r="O276" s="8">
        <v>90.031873010540551</v>
      </c>
      <c r="P276" s="8">
        <v>70.475844993261688</v>
      </c>
      <c r="Q276" s="8">
        <v>77.825723214182062</v>
      </c>
      <c r="R276" s="8">
        <v>82.09132855713122</v>
      </c>
      <c r="S276" s="8">
        <v>6</v>
      </c>
      <c r="T276" s="6">
        <v>60</v>
      </c>
      <c r="U276" s="20">
        <v>12</v>
      </c>
      <c r="V276" s="12">
        <v>0</v>
      </c>
    </row>
    <row r="277" spans="1:22" s="53" customFormat="1" x14ac:dyDescent="0.35">
      <c r="A277" s="2">
        <v>42919</v>
      </c>
      <c r="B277" s="3">
        <f t="shared" si="15"/>
        <v>2017</v>
      </c>
      <c r="C277" s="3">
        <f t="shared" si="16"/>
        <v>7</v>
      </c>
      <c r="D277" s="3">
        <f t="shared" si="17"/>
        <v>3</v>
      </c>
      <c r="E277" s="4">
        <v>24</v>
      </c>
      <c r="F277" s="4">
        <v>30.4</v>
      </c>
      <c r="G277" s="4">
        <v>28.8</v>
      </c>
      <c r="H277" s="34">
        <v>26.8</v>
      </c>
      <c r="I277" s="23">
        <v>31</v>
      </c>
      <c r="J277" s="23">
        <v>23.4</v>
      </c>
      <c r="K277" s="25" t="s">
        <v>9</v>
      </c>
      <c r="L277" s="25">
        <v>100</v>
      </c>
      <c r="M277" s="16" t="s">
        <v>15</v>
      </c>
      <c r="N277" s="13">
        <v>1011.5083333333333</v>
      </c>
      <c r="O277" s="8">
        <v>89.790689902535348</v>
      </c>
      <c r="P277" s="8">
        <v>70.585475049849848</v>
      </c>
      <c r="Q277" s="8">
        <v>76.431576567160263</v>
      </c>
      <c r="R277" s="8">
        <v>81.649607855520202</v>
      </c>
      <c r="S277" s="8" t="e">
        <v>#N/A</v>
      </c>
      <c r="T277" s="6">
        <v>140</v>
      </c>
      <c r="U277" s="20" t="e">
        <v>#N/A</v>
      </c>
      <c r="V277" s="12">
        <v>0</v>
      </c>
    </row>
    <row r="278" spans="1:22" s="53" customFormat="1" x14ac:dyDescent="0.35">
      <c r="A278" s="2">
        <v>42920</v>
      </c>
      <c r="B278" s="3">
        <f t="shared" si="15"/>
        <v>2017</v>
      </c>
      <c r="C278" s="3">
        <f t="shared" si="16"/>
        <v>7</v>
      </c>
      <c r="D278" s="3">
        <f t="shared" si="17"/>
        <v>4</v>
      </c>
      <c r="E278" s="4">
        <v>24</v>
      </c>
      <c r="F278" s="4">
        <v>30.6</v>
      </c>
      <c r="G278" s="4">
        <v>29.4</v>
      </c>
      <c r="H278" s="34">
        <v>27</v>
      </c>
      <c r="I278" s="23">
        <v>31.4</v>
      </c>
      <c r="J278" s="23">
        <v>22.2</v>
      </c>
      <c r="K278" s="25" t="s">
        <v>9</v>
      </c>
      <c r="L278" s="25">
        <v>100</v>
      </c>
      <c r="M278" s="16" t="s">
        <v>15</v>
      </c>
      <c r="N278" s="13">
        <v>1011.4083333333334</v>
      </c>
      <c r="O278" s="8">
        <v>88.127384765052724</v>
      </c>
      <c r="P278" s="8">
        <v>69.4123499788098</v>
      </c>
      <c r="Q278" s="8">
        <v>72.660482395870133</v>
      </c>
      <c r="R278" s="8">
        <v>79.581900476196353</v>
      </c>
      <c r="S278" s="8">
        <v>4.916666666666667</v>
      </c>
      <c r="T278" s="6">
        <v>180</v>
      </c>
      <c r="U278" s="20">
        <v>11</v>
      </c>
      <c r="V278" s="12">
        <v>0</v>
      </c>
    </row>
    <row r="279" spans="1:22" s="53" customFormat="1" x14ac:dyDescent="0.35">
      <c r="A279" s="2">
        <v>42921</v>
      </c>
      <c r="B279" s="3">
        <f t="shared" si="15"/>
        <v>2017</v>
      </c>
      <c r="C279" s="3">
        <f t="shared" si="16"/>
        <v>7</v>
      </c>
      <c r="D279" s="3">
        <f t="shared" si="17"/>
        <v>5</v>
      </c>
      <c r="E279" s="4">
        <v>24.6</v>
      </c>
      <c r="F279" s="4">
        <v>31.8</v>
      </c>
      <c r="G279" s="4">
        <v>29.2</v>
      </c>
      <c r="H279" s="34">
        <v>27.55</v>
      </c>
      <c r="I279" s="23">
        <v>32</v>
      </c>
      <c r="J279" s="23">
        <v>23.2</v>
      </c>
      <c r="K279" s="25" t="s">
        <v>9</v>
      </c>
      <c r="L279" s="25">
        <v>67.5</v>
      </c>
      <c r="M279" s="16" t="s">
        <v>15</v>
      </c>
      <c r="N279" s="13">
        <v>1011.6875000000001</v>
      </c>
      <c r="O279" s="8">
        <v>80.295091402860194</v>
      </c>
      <c r="P279" s="8">
        <v>56.915666496109715</v>
      </c>
      <c r="Q279" s="8">
        <v>72.539295992295109</v>
      </c>
      <c r="R279" s="8">
        <v>72.511286323531294</v>
      </c>
      <c r="S279" s="8">
        <v>4.0434782608695654</v>
      </c>
      <c r="T279" s="6">
        <v>180</v>
      </c>
      <c r="U279" s="20">
        <v>7</v>
      </c>
      <c r="V279" s="12">
        <v>0</v>
      </c>
    </row>
    <row r="280" spans="1:22" s="53" customFormat="1" x14ac:dyDescent="0.35">
      <c r="A280" s="2">
        <v>42922</v>
      </c>
      <c r="B280" s="3">
        <f t="shared" ref="B280:B336" si="18">YEAR(A280)</f>
        <v>2017</v>
      </c>
      <c r="C280" s="3">
        <f t="shared" ref="C280:C336" si="19">MONTH(A280)</f>
        <v>7</v>
      </c>
      <c r="D280" s="3">
        <f t="shared" ref="D280:D336" si="20">DAY(A280)</f>
        <v>6</v>
      </c>
      <c r="E280" s="4">
        <v>23.2</v>
      </c>
      <c r="F280" s="4">
        <v>29.8</v>
      </c>
      <c r="G280" s="4">
        <v>29.3</v>
      </c>
      <c r="H280" s="34">
        <v>26.375</v>
      </c>
      <c r="I280" s="23">
        <v>30.7</v>
      </c>
      <c r="J280" s="23">
        <v>23.2</v>
      </c>
      <c r="K280" s="25" t="s">
        <v>9</v>
      </c>
      <c r="L280" s="25">
        <v>68.75</v>
      </c>
      <c r="M280" s="16" t="s">
        <v>15</v>
      </c>
      <c r="N280" s="13">
        <v>1011.4499999999999</v>
      </c>
      <c r="O280" s="8">
        <v>86.217081791937332</v>
      </c>
      <c r="P280" s="8">
        <v>63.783287717427072</v>
      </c>
      <c r="Q280" s="8">
        <v>72.599689121522843</v>
      </c>
      <c r="R280" s="8">
        <v>77.204285105706148</v>
      </c>
      <c r="S280" s="8">
        <v>3.4285714285714284</v>
      </c>
      <c r="T280" s="6">
        <v>200</v>
      </c>
      <c r="U280" s="20">
        <v>7</v>
      </c>
      <c r="V280" s="12">
        <v>0</v>
      </c>
    </row>
    <row r="281" spans="1:22" s="53" customFormat="1" x14ac:dyDescent="0.35">
      <c r="A281" s="2">
        <v>42923</v>
      </c>
      <c r="B281" s="3">
        <f t="shared" si="18"/>
        <v>2017</v>
      </c>
      <c r="C281" s="3">
        <f t="shared" si="19"/>
        <v>7</v>
      </c>
      <c r="D281" s="3">
        <f t="shared" si="20"/>
        <v>7</v>
      </c>
      <c r="E281" s="4">
        <v>24.1</v>
      </c>
      <c r="F281" s="4">
        <v>32</v>
      </c>
      <c r="G281" s="4">
        <v>29.8</v>
      </c>
      <c r="H281" s="34">
        <v>27.5</v>
      </c>
      <c r="I281" s="23">
        <v>32</v>
      </c>
      <c r="J281" s="23">
        <v>23.6</v>
      </c>
      <c r="K281" s="25">
        <v>0.8</v>
      </c>
      <c r="L281" s="25">
        <v>100</v>
      </c>
      <c r="M281" s="16" t="s">
        <v>15</v>
      </c>
      <c r="N281" s="13">
        <v>1011.5208333333331</v>
      </c>
      <c r="O281" s="8">
        <v>79.269769888764188</v>
      </c>
      <c r="P281" s="8">
        <v>57.087221993753268</v>
      </c>
      <c r="Q281" s="8">
        <v>66.345347299393481</v>
      </c>
      <c r="R281" s="8">
        <v>70.493027267668779</v>
      </c>
      <c r="S281" s="8">
        <v>5.208333333333333</v>
      </c>
      <c r="T281" s="6">
        <v>190</v>
      </c>
      <c r="U281" s="20">
        <v>11</v>
      </c>
      <c r="V281" s="12">
        <v>0</v>
      </c>
    </row>
    <row r="282" spans="1:22" s="53" customFormat="1" x14ac:dyDescent="0.35">
      <c r="A282" s="2">
        <v>42924</v>
      </c>
      <c r="B282" s="3">
        <f t="shared" si="18"/>
        <v>2017</v>
      </c>
      <c r="C282" s="3">
        <f t="shared" si="19"/>
        <v>7</v>
      </c>
      <c r="D282" s="3">
        <f t="shared" si="20"/>
        <v>8</v>
      </c>
      <c r="E282" s="4">
        <v>23.6</v>
      </c>
      <c r="F282" s="4">
        <v>30.8</v>
      </c>
      <c r="G282" s="4">
        <v>29.4</v>
      </c>
      <c r="H282" s="34">
        <v>26.85</v>
      </c>
      <c r="I282" s="23">
        <v>31.5</v>
      </c>
      <c r="J282" s="23">
        <v>21.8</v>
      </c>
      <c r="K282" s="25" t="s">
        <v>9</v>
      </c>
      <c r="L282" s="25">
        <v>100</v>
      </c>
      <c r="M282" s="16" t="s">
        <v>15</v>
      </c>
      <c r="N282" s="13">
        <v>1011.5208333333334</v>
      </c>
      <c r="O282" s="8">
        <v>86.352311676500321</v>
      </c>
      <c r="P282" s="8">
        <v>58.441812941072222</v>
      </c>
      <c r="Q282" s="8">
        <v>71.319595875136969</v>
      </c>
      <c r="R282" s="8">
        <v>75.616508042302456</v>
      </c>
      <c r="S282" s="8">
        <v>4.2608695652173916</v>
      </c>
      <c r="T282" s="6">
        <v>190</v>
      </c>
      <c r="U282" s="20">
        <v>10</v>
      </c>
      <c r="V282" s="12">
        <v>0</v>
      </c>
    </row>
    <row r="283" spans="1:22" s="53" customFormat="1" x14ac:dyDescent="0.35">
      <c r="A283" s="2">
        <v>42925</v>
      </c>
      <c r="B283" s="3">
        <f t="shared" si="18"/>
        <v>2017</v>
      </c>
      <c r="C283" s="3">
        <f t="shared" si="19"/>
        <v>7</v>
      </c>
      <c r="D283" s="3">
        <f t="shared" si="20"/>
        <v>9</v>
      </c>
      <c r="E283" s="4">
        <v>24</v>
      </c>
      <c r="F283" s="4">
        <v>30.8</v>
      </c>
      <c r="G283" s="4">
        <v>28.8</v>
      </c>
      <c r="H283" s="34">
        <v>26.9</v>
      </c>
      <c r="I283" s="23">
        <v>31.2</v>
      </c>
      <c r="J283" s="23">
        <v>23.6</v>
      </c>
      <c r="K283" s="25">
        <v>0</v>
      </c>
      <c r="L283" s="25">
        <v>100</v>
      </c>
      <c r="M283" s="16" t="s">
        <v>15</v>
      </c>
      <c r="N283" s="13">
        <v>1011.3458333333332</v>
      </c>
      <c r="O283" s="8">
        <v>83.223800680456719</v>
      </c>
      <c r="P283" s="8">
        <v>60.84376792764008</v>
      </c>
      <c r="Q283" s="8">
        <v>75.047431986304204</v>
      </c>
      <c r="R283" s="8">
        <v>75.584700318714425</v>
      </c>
      <c r="S283" s="8">
        <v>4</v>
      </c>
      <c r="T283" s="6">
        <v>230</v>
      </c>
      <c r="U283" s="20">
        <v>8</v>
      </c>
      <c r="V283" s="12">
        <v>0</v>
      </c>
    </row>
    <row r="284" spans="1:22" s="53" customFormat="1" x14ac:dyDescent="0.35">
      <c r="A284" s="2">
        <v>42926</v>
      </c>
      <c r="B284" s="3">
        <f t="shared" si="18"/>
        <v>2017</v>
      </c>
      <c r="C284" s="3">
        <f t="shared" si="19"/>
        <v>7</v>
      </c>
      <c r="D284" s="3">
        <f t="shared" si="20"/>
        <v>10</v>
      </c>
      <c r="E284" s="4">
        <v>24.8</v>
      </c>
      <c r="F284" s="4">
        <v>30.3</v>
      </c>
      <c r="G284" s="4">
        <v>28.4</v>
      </c>
      <c r="H284" s="34">
        <v>27.075000000000003</v>
      </c>
      <c r="I284" s="23">
        <v>31</v>
      </c>
      <c r="J284" s="23">
        <v>24.8</v>
      </c>
      <c r="K284" s="25" t="s">
        <v>9</v>
      </c>
      <c r="L284" s="25">
        <v>93.75</v>
      </c>
      <c r="M284" s="16" t="s">
        <v>15</v>
      </c>
      <c r="N284" s="13">
        <v>1011.2958333333335</v>
      </c>
      <c r="O284" s="8">
        <v>75.747915800567085</v>
      </c>
      <c r="P284" s="8">
        <v>62.288336585651258</v>
      </c>
      <c r="Q284" s="8">
        <v>74.837214552088156</v>
      </c>
      <c r="R284" s="8">
        <v>72.155345684718398</v>
      </c>
      <c r="S284" s="8">
        <v>4</v>
      </c>
      <c r="T284" s="6">
        <v>200</v>
      </c>
      <c r="U284" s="20">
        <v>10</v>
      </c>
      <c r="V284" s="12">
        <v>0</v>
      </c>
    </row>
    <row r="285" spans="1:22" s="53" customFormat="1" x14ac:dyDescent="0.35">
      <c r="A285" s="2">
        <v>42927</v>
      </c>
      <c r="B285" s="3">
        <f t="shared" si="18"/>
        <v>2017</v>
      </c>
      <c r="C285" s="3">
        <f t="shared" si="19"/>
        <v>7</v>
      </c>
      <c r="D285" s="3">
        <f t="shared" si="20"/>
        <v>11</v>
      </c>
      <c r="E285" s="4">
        <v>25.6</v>
      </c>
      <c r="F285" s="4">
        <v>31</v>
      </c>
      <c r="G285" s="4">
        <v>29</v>
      </c>
      <c r="H285" s="34">
        <v>27.8</v>
      </c>
      <c r="I285" s="23">
        <v>31.4</v>
      </c>
      <c r="J285" s="23">
        <v>24.4</v>
      </c>
      <c r="K285" s="25" t="s">
        <v>9</v>
      </c>
      <c r="L285" s="25">
        <v>31.25</v>
      </c>
      <c r="M285" s="16" t="s">
        <v>15</v>
      </c>
      <c r="N285" s="13">
        <v>1011.8458333333334</v>
      </c>
      <c r="O285" s="8">
        <v>71.736998697865033</v>
      </c>
      <c r="P285" s="8">
        <v>57.415811559972653</v>
      </c>
      <c r="Q285" s="8">
        <v>73.778576212813334</v>
      </c>
      <c r="R285" s="8">
        <v>68.667096292129017</v>
      </c>
      <c r="S285" s="8">
        <v>4.833333333333333</v>
      </c>
      <c r="T285" s="6">
        <v>200</v>
      </c>
      <c r="U285" s="20">
        <v>8</v>
      </c>
      <c r="V285" s="12">
        <v>0</v>
      </c>
    </row>
    <row r="286" spans="1:22" s="53" customFormat="1" x14ac:dyDescent="0.35">
      <c r="A286" s="2">
        <v>42928</v>
      </c>
      <c r="B286" s="3">
        <f t="shared" si="18"/>
        <v>2017</v>
      </c>
      <c r="C286" s="3">
        <f t="shared" si="19"/>
        <v>7</v>
      </c>
      <c r="D286" s="3">
        <f t="shared" si="20"/>
        <v>12</v>
      </c>
      <c r="E286" s="4">
        <v>24.6</v>
      </c>
      <c r="F286" s="4">
        <v>31</v>
      </c>
      <c r="G286" s="4">
        <v>29.2</v>
      </c>
      <c r="H286" s="34">
        <v>27.35</v>
      </c>
      <c r="I286" s="23">
        <v>31.8</v>
      </c>
      <c r="J286" s="23">
        <v>22.4</v>
      </c>
      <c r="K286" s="25" t="s">
        <v>9</v>
      </c>
      <c r="L286" s="25">
        <v>78.75</v>
      </c>
      <c r="M286" s="16" t="s">
        <v>15</v>
      </c>
      <c r="N286" s="13">
        <v>1011.6958333333332</v>
      </c>
      <c r="O286" s="8">
        <v>74.094623499034711</v>
      </c>
      <c r="P286" s="8">
        <v>55.06928232403456</v>
      </c>
      <c r="Q286" s="8">
        <v>69.865159823887396</v>
      </c>
      <c r="R286" s="8">
        <v>68.280922286497841</v>
      </c>
      <c r="S286" s="8">
        <v>4.291666666666667</v>
      </c>
      <c r="T286" s="6">
        <v>190</v>
      </c>
      <c r="U286" s="20">
        <v>8</v>
      </c>
      <c r="V286" s="12">
        <v>0</v>
      </c>
    </row>
    <row r="287" spans="1:22" s="53" customFormat="1" x14ac:dyDescent="0.35">
      <c r="A287" s="2">
        <v>42929</v>
      </c>
      <c r="B287" s="3">
        <f t="shared" si="18"/>
        <v>2017</v>
      </c>
      <c r="C287" s="3">
        <f t="shared" si="19"/>
        <v>7</v>
      </c>
      <c r="D287" s="3">
        <f t="shared" si="20"/>
        <v>13</v>
      </c>
      <c r="E287" s="4">
        <v>24.4</v>
      </c>
      <c r="F287" s="4">
        <v>31.6</v>
      </c>
      <c r="G287" s="4">
        <v>29.8</v>
      </c>
      <c r="H287" s="34">
        <v>27.55</v>
      </c>
      <c r="I287" s="23">
        <v>32.4</v>
      </c>
      <c r="J287" s="23">
        <v>23</v>
      </c>
      <c r="K287" s="25">
        <v>1.1000000000000001</v>
      </c>
      <c r="L287" s="25">
        <v>100</v>
      </c>
      <c r="M287" s="16" t="s">
        <v>15</v>
      </c>
      <c r="N287" s="13">
        <v>1010.7291666666665</v>
      </c>
      <c r="O287" s="8">
        <v>83.385726930555947</v>
      </c>
      <c r="P287" s="8">
        <v>55.612226255522238</v>
      </c>
      <c r="Q287" s="8">
        <v>68.939712561277815</v>
      </c>
      <c r="R287" s="8">
        <v>72.830848169477989</v>
      </c>
      <c r="S287" s="8">
        <v>3.85</v>
      </c>
      <c r="T287" s="6">
        <v>200</v>
      </c>
      <c r="U287" s="20">
        <v>6</v>
      </c>
      <c r="V287" s="12">
        <v>0</v>
      </c>
    </row>
    <row r="288" spans="1:22" s="53" customFormat="1" x14ac:dyDescent="0.35">
      <c r="A288" s="2">
        <v>42930</v>
      </c>
      <c r="B288" s="3">
        <f t="shared" si="18"/>
        <v>2017</v>
      </c>
      <c r="C288" s="3">
        <f t="shared" si="19"/>
        <v>7</v>
      </c>
      <c r="D288" s="3">
        <f t="shared" si="20"/>
        <v>14</v>
      </c>
      <c r="E288" s="4">
        <v>25.3</v>
      </c>
      <c r="F288" s="4">
        <v>30.2</v>
      </c>
      <c r="G288" s="4">
        <v>29.4</v>
      </c>
      <c r="H288" s="34">
        <v>27.549999999999997</v>
      </c>
      <c r="I288" s="23">
        <v>31.6</v>
      </c>
      <c r="J288" s="23">
        <v>23.9</v>
      </c>
      <c r="K288" s="25" t="s">
        <v>9</v>
      </c>
      <c r="L288" s="25">
        <v>26.25</v>
      </c>
      <c r="M288" s="16" t="s">
        <v>15</v>
      </c>
      <c r="N288" s="13">
        <v>1010.9583333333334</v>
      </c>
      <c r="O288" s="8">
        <v>81.396354159833578</v>
      </c>
      <c r="P288" s="8">
        <v>62.838985308075578</v>
      </c>
      <c r="Q288" s="8">
        <v>75.355006229605166</v>
      </c>
      <c r="R288" s="8">
        <v>75.246674964336975</v>
      </c>
      <c r="S288" s="8">
        <v>3.1304347826086958</v>
      </c>
      <c r="T288" s="6">
        <v>190</v>
      </c>
      <c r="U288" s="20">
        <v>7</v>
      </c>
      <c r="V288" s="12">
        <v>0</v>
      </c>
    </row>
    <row r="289" spans="1:22" s="53" customFormat="1" x14ac:dyDescent="0.35">
      <c r="A289" s="2">
        <v>42931</v>
      </c>
      <c r="B289" s="3">
        <f t="shared" si="18"/>
        <v>2017</v>
      </c>
      <c r="C289" s="3">
        <f t="shared" si="19"/>
        <v>7</v>
      </c>
      <c r="D289" s="3">
        <f t="shared" si="20"/>
        <v>15</v>
      </c>
      <c r="E289" s="4">
        <v>23.9</v>
      </c>
      <c r="F289" s="4">
        <v>31</v>
      </c>
      <c r="G289" s="4">
        <v>29.4</v>
      </c>
      <c r="H289" s="34">
        <v>27.049999999999997</v>
      </c>
      <c r="I289" s="23">
        <v>31.6</v>
      </c>
      <c r="J289" s="23">
        <v>22.6</v>
      </c>
      <c r="K289" s="25" t="s">
        <v>9</v>
      </c>
      <c r="L289" s="25">
        <v>100</v>
      </c>
      <c r="M289" s="16" t="s">
        <v>15</v>
      </c>
      <c r="N289" s="13">
        <v>1011.1791666666668</v>
      </c>
      <c r="O289" s="8">
        <v>92.284560824303327</v>
      </c>
      <c r="P289" s="8">
        <v>59.793029152441392</v>
      </c>
      <c r="Q289" s="8">
        <v>69.993596244097873</v>
      </c>
      <c r="R289" s="8">
        <v>78.588936761286476</v>
      </c>
      <c r="S289" s="8" t="e">
        <v>#N/A</v>
      </c>
      <c r="T289" s="6">
        <v>150</v>
      </c>
      <c r="U289" s="20" t="e">
        <v>#N/A</v>
      </c>
      <c r="V289" s="12">
        <v>0</v>
      </c>
    </row>
    <row r="290" spans="1:22" s="53" customFormat="1" x14ac:dyDescent="0.35">
      <c r="A290" s="2">
        <v>42932</v>
      </c>
      <c r="B290" s="3">
        <f t="shared" si="18"/>
        <v>2017</v>
      </c>
      <c r="C290" s="3">
        <f t="shared" si="19"/>
        <v>7</v>
      </c>
      <c r="D290" s="3">
        <f t="shared" si="20"/>
        <v>16</v>
      </c>
      <c r="E290" s="4">
        <v>23</v>
      </c>
      <c r="F290" s="4">
        <v>30.6</v>
      </c>
      <c r="G290" s="4">
        <v>28.4</v>
      </c>
      <c r="H290" s="34">
        <v>26.25</v>
      </c>
      <c r="I290" s="23">
        <v>31.2</v>
      </c>
      <c r="J290" s="23">
        <v>22.6</v>
      </c>
      <c r="K290" s="25" t="s">
        <v>9</v>
      </c>
      <c r="L290" s="25">
        <v>100</v>
      </c>
      <c r="M290" s="16" t="s">
        <v>15</v>
      </c>
      <c r="N290" s="13">
        <v>1010.8625000000001</v>
      </c>
      <c r="O290" s="8">
        <v>82.809560217848215</v>
      </c>
      <c r="P290" s="8">
        <v>54.720493235573016</v>
      </c>
      <c r="Q290" s="8">
        <v>66.678581306702711</v>
      </c>
      <c r="R290" s="8">
        <v>71.754548744493036</v>
      </c>
      <c r="S290" s="8">
        <v>5.4545454545454541</v>
      </c>
      <c r="T290" s="6">
        <v>200</v>
      </c>
      <c r="U290" s="20">
        <v>8</v>
      </c>
      <c r="V290" s="12">
        <v>0</v>
      </c>
    </row>
    <row r="291" spans="1:22" s="53" customFormat="1" x14ac:dyDescent="0.35">
      <c r="A291" s="2">
        <v>42933</v>
      </c>
      <c r="B291" s="3">
        <f t="shared" si="18"/>
        <v>2017</v>
      </c>
      <c r="C291" s="3">
        <f t="shared" si="19"/>
        <v>7</v>
      </c>
      <c r="D291" s="3">
        <f t="shared" si="20"/>
        <v>17</v>
      </c>
      <c r="E291" s="4">
        <v>22.6</v>
      </c>
      <c r="F291" s="4">
        <v>29.6</v>
      </c>
      <c r="G291" s="4">
        <v>28.4</v>
      </c>
      <c r="H291" s="34">
        <v>25.800000000000004</v>
      </c>
      <c r="I291" s="23">
        <v>31</v>
      </c>
      <c r="J291" s="23">
        <v>21.8</v>
      </c>
      <c r="K291" s="25" t="s">
        <v>9</v>
      </c>
      <c r="L291" s="25">
        <v>83.75</v>
      </c>
      <c r="M291" s="16" t="s">
        <v>15</v>
      </c>
      <c r="N291" s="13">
        <v>1011.3083333333334</v>
      </c>
      <c r="O291" s="8">
        <v>80.97115646786132</v>
      </c>
      <c r="P291" s="8">
        <v>57.412287113482208</v>
      </c>
      <c r="Q291" s="8">
        <v>68.016535056978185</v>
      </c>
      <c r="R291" s="8">
        <v>71.842783776545758</v>
      </c>
      <c r="S291" s="8">
        <v>4.25</v>
      </c>
      <c r="T291" s="6">
        <v>120</v>
      </c>
      <c r="U291" s="20">
        <v>9</v>
      </c>
      <c r="V291" s="12">
        <v>0</v>
      </c>
    </row>
    <row r="292" spans="1:22" s="53" customFormat="1" x14ac:dyDescent="0.35">
      <c r="A292" s="2">
        <v>42934</v>
      </c>
      <c r="B292" s="3">
        <f t="shared" si="18"/>
        <v>2017</v>
      </c>
      <c r="C292" s="3">
        <f t="shared" si="19"/>
        <v>7</v>
      </c>
      <c r="D292" s="3">
        <f t="shared" si="20"/>
        <v>18</v>
      </c>
      <c r="E292" s="4">
        <v>24.2</v>
      </c>
      <c r="F292" s="4">
        <v>30.6</v>
      </c>
      <c r="G292" s="4">
        <v>29</v>
      </c>
      <c r="H292" s="34">
        <v>27</v>
      </c>
      <c r="I292" s="23">
        <v>31.4</v>
      </c>
      <c r="J292" s="23">
        <v>23.8</v>
      </c>
      <c r="K292" s="25">
        <v>1.5</v>
      </c>
      <c r="L292" s="25">
        <v>62.5</v>
      </c>
      <c r="M292" s="16" t="s">
        <v>15</v>
      </c>
      <c r="N292" s="13">
        <v>1012.8708333333333</v>
      </c>
      <c r="O292" s="8">
        <v>83.299696681127145</v>
      </c>
      <c r="P292" s="8">
        <v>59.462656105328783</v>
      </c>
      <c r="Q292" s="8">
        <v>67.074345323378566</v>
      </c>
      <c r="R292" s="8">
        <v>73.284098697740404</v>
      </c>
      <c r="S292" s="8">
        <v>4.9565217391304346</v>
      </c>
      <c r="T292" s="6">
        <v>160</v>
      </c>
      <c r="U292" s="20">
        <v>11</v>
      </c>
      <c r="V292" s="12">
        <v>0</v>
      </c>
    </row>
    <row r="293" spans="1:22" s="53" customFormat="1" x14ac:dyDescent="0.35">
      <c r="A293" s="2">
        <v>42935</v>
      </c>
      <c r="B293" s="3">
        <f t="shared" si="18"/>
        <v>2017</v>
      </c>
      <c r="C293" s="3">
        <f t="shared" si="19"/>
        <v>7</v>
      </c>
      <c r="D293" s="3">
        <f t="shared" si="20"/>
        <v>19</v>
      </c>
      <c r="E293" s="4">
        <v>24.2</v>
      </c>
      <c r="F293" s="4">
        <v>29.6</v>
      </c>
      <c r="G293" s="4">
        <v>28.6</v>
      </c>
      <c r="H293" s="34">
        <v>26.65</v>
      </c>
      <c r="I293" s="23">
        <v>30.6</v>
      </c>
      <c r="J293" s="23">
        <v>23.4</v>
      </c>
      <c r="K293" s="25" t="s">
        <v>9</v>
      </c>
      <c r="L293" s="25">
        <v>33.75</v>
      </c>
      <c r="M293" s="16" t="s">
        <v>15</v>
      </c>
      <c r="N293" s="13">
        <v>1011.4708333333333</v>
      </c>
      <c r="O293" s="8">
        <v>89.837930022891385</v>
      </c>
      <c r="P293" s="8">
        <v>70.103752812802981</v>
      </c>
      <c r="Q293" s="8">
        <v>77.729670191447354</v>
      </c>
      <c r="R293" s="8">
        <v>81.877320762508276</v>
      </c>
      <c r="S293" s="8">
        <v>5.4090909090909092</v>
      </c>
      <c r="T293" s="6">
        <v>130</v>
      </c>
      <c r="U293" s="20">
        <v>12</v>
      </c>
      <c r="V293" s="12">
        <v>0</v>
      </c>
    </row>
    <row r="294" spans="1:22" s="53" customFormat="1" x14ac:dyDescent="0.35">
      <c r="A294" s="2">
        <v>42936</v>
      </c>
      <c r="B294" s="3">
        <f t="shared" si="18"/>
        <v>2017</v>
      </c>
      <c r="C294" s="3">
        <f t="shared" si="19"/>
        <v>7</v>
      </c>
      <c r="D294" s="3">
        <f t="shared" si="20"/>
        <v>20</v>
      </c>
      <c r="E294" s="4">
        <v>23.6</v>
      </c>
      <c r="F294" s="4">
        <v>30.5</v>
      </c>
      <c r="G294" s="4">
        <v>28.7</v>
      </c>
      <c r="H294" s="34">
        <v>26.6</v>
      </c>
      <c r="I294" s="23">
        <v>31.3</v>
      </c>
      <c r="J294" s="23">
        <v>23.4</v>
      </c>
      <c r="K294" s="25" t="s">
        <v>9</v>
      </c>
      <c r="L294" s="25">
        <v>100</v>
      </c>
      <c r="M294" s="16" t="s">
        <v>15</v>
      </c>
      <c r="N294" s="13">
        <v>1010.8249999999999</v>
      </c>
      <c r="O294" s="8">
        <v>93.078904989632647</v>
      </c>
      <c r="P294" s="8">
        <v>65.560795062649191</v>
      </c>
      <c r="Q294" s="8">
        <v>77.085779248091953</v>
      </c>
      <c r="R294" s="8">
        <v>82.201096072501613</v>
      </c>
      <c r="S294" s="8">
        <v>4.4090909090909092</v>
      </c>
      <c r="T294" s="6">
        <v>190</v>
      </c>
      <c r="U294" s="20">
        <v>9</v>
      </c>
      <c r="V294" s="12">
        <v>0</v>
      </c>
    </row>
    <row r="295" spans="1:22" s="53" customFormat="1" x14ac:dyDescent="0.35">
      <c r="A295" s="2">
        <v>42937</v>
      </c>
      <c r="B295" s="3">
        <f t="shared" si="18"/>
        <v>2017</v>
      </c>
      <c r="C295" s="3">
        <f t="shared" si="19"/>
        <v>7</v>
      </c>
      <c r="D295" s="3">
        <f t="shared" si="20"/>
        <v>21</v>
      </c>
      <c r="E295" s="4">
        <v>24.6</v>
      </c>
      <c r="F295" s="4">
        <v>30</v>
      </c>
      <c r="G295" s="4">
        <v>28.4</v>
      </c>
      <c r="H295" s="34">
        <v>26.9</v>
      </c>
      <c r="I295" s="23">
        <v>30.8</v>
      </c>
      <c r="J295" s="23">
        <v>24</v>
      </c>
      <c r="K295" s="25" t="s">
        <v>9</v>
      </c>
      <c r="L295" s="25">
        <v>12.5</v>
      </c>
      <c r="M295" s="16" t="s">
        <v>15</v>
      </c>
      <c r="N295" s="13">
        <v>1012.3416666666668</v>
      </c>
      <c r="O295" s="8">
        <v>91.581517320079854</v>
      </c>
      <c r="P295" s="8">
        <v>63.926981188839115</v>
      </c>
      <c r="Q295" s="8">
        <v>76.221423336828678</v>
      </c>
      <c r="R295" s="8">
        <v>80.827859791456873</v>
      </c>
      <c r="S295" s="8">
        <v>3.6190476190476191</v>
      </c>
      <c r="T295" s="6">
        <v>50</v>
      </c>
      <c r="U295" s="20">
        <v>5</v>
      </c>
      <c r="V295" s="12">
        <v>0</v>
      </c>
    </row>
    <row r="296" spans="1:22" s="53" customFormat="1" x14ac:dyDescent="0.35">
      <c r="A296" s="2">
        <v>42938</v>
      </c>
      <c r="B296" s="3">
        <f t="shared" si="18"/>
        <v>2017</v>
      </c>
      <c r="C296" s="3">
        <f t="shared" si="19"/>
        <v>7</v>
      </c>
      <c r="D296" s="3">
        <f t="shared" si="20"/>
        <v>22</v>
      </c>
      <c r="E296" s="4">
        <v>24</v>
      </c>
      <c r="F296" s="4">
        <v>30.4</v>
      </c>
      <c r="G296" s="4">
        <v>28.6</v>
      </c>
      <c r="H296" s="34">
        <v>26.75</v>
      </c>
      <c r="I296" s="23">
        <v>31</v>
      </c>
      <c r="J296" s="23">
        <v>24</v>
      </c>
      <c r="K296" s="25" t="s">
        <v>9</v>
      </c>
      <c r="L296" s="25">
        <v>87.5</v>
      </c>
      <c r="M296" s="16" t="s">
        <v>15</v>
      </c>
      <c r="N296" s="13">
        <v>1011.9083333333334</v>
      </c>
      <c r="O296" s="8">
        <v>94.839133073473221</v>
      </c>
      <c r="P296" s="8">
        <v>66.737311219476524</v>
      </c>
      <c r="Q296" s="8">
        <v>79.136690312176441</v>
      </c>
      <c r="R296" s="8">
        <v>83.888066919649845</v>
      </c>
      <c r="S296" s="8">
        <v>4.916666666666667</v>
      </c>
      <c r="T296" s="6">
        <v>170</v>
      </c>
      <c r="U296" s="20">
        <v>12</v>
      </c>
      <c r="V296" s="12">
        <v>0</v>
      </c>
    </row>
    <row r="297" spans="1:22" s="53" customFormat="1" x14ac:dyDescent="0.35">
      <c r="A297" s="2">
        <v>42939</v>
      </c>
      <c r="B297" s="3">
        <f t="shared" si="18"/>
        <v>2017</v>
      </c>
      <c r="C297" s="3">
        <f t="shared" si="19"/>
        <v>7</v>
      </c>
      <c r="D297" s="3">
        <f t="shared" si="20"/>
        <v>23</v>
      </c>
      <c r="E297" s="4">
        <v>24.6</v>
      </c>
      <c r="F297" s="4">
        <v>30.4</v>
      </c>
      <c r="G297" s="4">
        <v>29</v>
      </c>
      <c r="H297" s="34">
        <v>27.15</v>
      </c>
      <c r="I297" s="23">
        <v>31.4</v>
      </c>
      <c r="J297" s="23">
        <v>22.6</v>
      </c>
      <c r="K297" s="25" t="s">
        <v>9</v>
      </c>
      <c r="L297" s="25">
        <v>100</v>
      </c>
      <c r="M297" s="16" t="s">
        <v>15</v>
      </c>
      <c r="N297" s="13">
        <v>1011.3416666666666</v>
      </c>
      <c r="O297" s="8">
        <v>83.462505139141072</v>
      </c>
      <c r="P297" s="8">
        <v>61.750169970474978</v>
      </c>
      <c r="Q297" s="8">
        <v>71.082541386174469</v>
      </c>
      <c r="R297" s="8">
        <v>74.939430408732903</v>
      </c>
      <c r="S297" s="8">
        <v>4.958333333333333</v>
      </c>
      <c r="T297" s="6">
        <v>180</v>
      </c>
      <c r="U297" s="20">
        <v>9</v>
      </c>
      <c r="V297" s="12">
        <v>0</v>
      </c>
    </row>
    <row r="298" spans="1:22" s="53" customFormat="1" x14ac:dyDescent="0.35">
      <c r="A298" s="2">
        <v>42940</v>
      </c>
      <c r="B298" s="3">
        <f t="shared" si="18"/>
        <v>2017</v>
      </c>
      <c r="C298" s="3">
        <f t="shared" si="19"/>
        <v>7</v>
      </c>
      <c r="D298" s="3">
        <f t="shared" si="20"/>
        <v>24</v>
      </c>
      <c r="E298" s="4">
        <v>22.6</v>
      </c>
      <c r="F298" s="4">
        <v>29.4</v>
      </c>
      <c r="G298" s="4">
        <v>28.6</v>
      </c>
      <c r="H298" s="34">
        <v>25.799999999999997</v>
      </c>
      <c r="I298" s="23">
        <v>30.3</v>
      </c>
      <c r="J298" s="23">
        <v>20</v>
      </c>
      <c r="K298" s="25" t="s">
        <v>9</v>
      </c>
      <c r="L298" s="25">
        <v>100</v>
      </c>
      <c r="M298" s="16" t="s">
        <v>15</v>
      </c>
      <c r="N298" s="13">
        <v>1011.1</v>
      </c>
      <c r="O298" s="8">
        <v>79.30144291191597</v>
      </c>
      <c r="P298" s="8">
        <v>59.712414170623951</v>
      </c>
      <c r="Q298" s="8">
        <v>66.829228694992523</v>
      </c>
      <c r="R298" s="8">
        <v>71.286132172362102</v>
      </c>
      <c r="S298" s="8">
        <v>4.958333333333333</v>
      </c>
      <c r="T298" s="6">
        <v>190</v>
      </c>
      <c r="U298" s="20">
        <v>9</v>
      </c>
      <c r="V298" s="12">
        <v>0</v>
      </c>
    </row>
    <row r="299" spans="1:22" s="53" customFormat="1" x14ac:dyDescent="0.35">
      <c r="A299" s="2">
        <v>42941</v>
      </c>
      <c r="B299" s="3">
        <f t="shared" si="18"/>
        <v>2017</v>
      </c>
      <c r="C299" s="3">
        <f t="shared" si="19"/>
        <v>7</v>
      </c>
      <c r="D299" s="3">
        <f t="shared" si="20"/>
        <v>25</v>
      </c>
      <c r="E299" s="4">
        <v>22.4</v>
      </c>
      <c r="F299" s="4">
        <v>31.4</v>
      </c>
      <c r="G299" s="4">
        <v>30</v>
      </c>
      <c r="H299" s="34">
        <v>26.549999999999997</v>
      </c>
      <c r="I299" s="23">
        <v>32.200000000000003</v>
      </c>
      <c r="J299" s="23">
        <v>22.4</v>
      </c>
      <c r="K299" s="25" t="s">
        <v>9</v>
      </c>
      <c r="L299" s="25">
        <v>100</v>
      </c>
      <c r="M299" s="16" t="s">
        <v>15</v>
      </c>
      <c r="N299" s="13">
        <v>1010.1958333333336</v>
      </c>
      <c r="O299" s="8">
        <v>79.200125759515885</v>
      </c>
      <c r="P299" s="8">
        <v>43.249738289358639</v>
      </c>
      <c r="Q299" s="8">
        <v>55.386389533232318</v>
      </c>
      <c r="R299" s="8">
        <v>64.259094835405676</v>
      </c>
      <c r="S299" s="8">
        <v>4.833333333333333</v>
      </c>
      <c r="T299" s="6">
        <v>190</v>
      </c>
      <c r="U299" s="20">
        <v>10</v>
      </c>
      <c r="V299" s="12">
        <v>0</v>
      </c>
    </row>
    <row r="300" spans="1:22" s="53" customFormat="1" x14ac:dyDescent="0.35">
      <c r="A300" s="2">
        <v>42942</v>
      </c>
      <c r="B300" s="3">
        <f t="shared" si="18"/>
        <v>2017</v>
      </c>
      <c r="C300" s="3">
        <f t="shared" si="19"/>
        <v>7</v>
      </c>
      <c r="D300" s="3">
        <f t="shared" si="20"/>
        <v>26</v>
      </c>
      <c r="E300" s="4">
        <v>22.9</v>
      </c>
      <c r="F300" s="4">
        <v>31.3</v>
      </c>
      <c r="G300" s="4">
        <v>29.8</v>
      </c>
      <c r="H300" s="34">
        <v>26.724999999999998</v>
      </c>
      <c r="I300" s="23">
        <v>32.4</v>
      </c>
      <c r="J300" s="23">
        <v>22.9</v>
      </c>
      <c r="K300" s="25">
        <v>1.5</v>
      </c>
      <c r="L300" s="25">
        <v>100</v>
      </c>
      <c r="M300" s="16" t="s">
        <v>15</v>
      </c>
      <c r="N300" s="13">
        <v>1010.025</v>
      </c>
      <c r="O300" s="8">
        <v>78.649387678667566</v>
      </c>
      <c r="P300" s="8">
        <v>48.026648662141127</v>
      </c>
      <c r="Q300" s="8">
        <v>65.085104063992887</v>
      </c>
      <c r="R300" s="8">
        <v>67.60263202086729</v>
      </c>
      <c r="S300" s="8">
        <v>4.4782608695652177</v>
      </c>
      <c r="T300" s="6">
        <v>190</v>
      </c>
      <c r="U300" s="20">
        <v>8</v>
      </c>
      <c r="V300" s="12">
        <v>0</v>
      </c>
    </row>
    <row r="301" spans="1:22" s="53" customFormat="1" x14ac:dyDescent="0.35">
      <c r="A301" s="2">
        <v>42943</v>
      </c>
      <c r="B301" s="3">
        <f t="shared" si="18"/>
        <v>2017</v>
      </c>
      <c r="C301" s="3">
        <f t="shared" si="19"/>
        <v>7</v>
      </c>
      <c r="D301" s="3">
        <f t="shared" si="20"/>
        <v>27</v>
      </c>
      <c r="E301" s="4">
        <v>24.6</v>
      </c>
      <c r="F301" s="4">
        <v>27.4</v>
      </c>
      <c r="G301" s="4">
        <v>26.8</v>
      </c>
      <c r="H301" s="34">
        <v>25.849999999999998</v>
      </c>
      <c r="I301" s="23">
        <v>28</v>
      </c>
      <c r="J301" s="23">
        <v>23.8</v>
      </c>
      <c r="K301" s="25">
        <v>3</v>
      </c>
      <c r="L301" s="25">
        <v>0</v>
      </c>
      <c r="M301" s="16" t="s">
        <v>15</v>
      </c>
      <c r="N301" s="13">
        <v>1011.7958333333336</v>
      </c>
      <c r="O301" s="8">
        <v>86.675918116008674</v>
      </c>
      <c r="P301" s="8">
        <v>70.05966712109425</v>
      </c>
      <c r="Q301" s="8">
        <v>78.305138589817275</v>
      </c>
      <c r="R301" s="8">
        <v>80.429160485732211</v>
      </c>
      <c r="S301" s="8">
        <v>4.75</v>
      </c>
      <c r="T301" s="6">
        <v>200</v>
      </c>
      <c r="U301" s="20">
        <v>10</v>
      </c>
      <c r="V301" s="12">
        <v>0</v>
      </c>
    </row>
    <row r="302" spans="1:22" s="53" customFormat="1" x14ac:dyDescent="0.35">
      <c r="A302" s="2">
        <v>42944</v>
      </c>
      <c r="B302" s="3">
        <f t="shared" si="18"/>
        <v>2017</v>
      </c>
      <c r="C302" s="3">
        <f t="shared" si="19"/>
        <v>7</v>
      </c>
      <c r="D302" s="3">
        <f t="shared" si="20"/>
        <v>28</v>
      </c>
      <c r="E302" s="4">
        <v>24.4</v>
      </c>
      <c r="F302" s="4">
        <v>29.8</v>
      </c>
      <c r="G302" s="4">
        <v>28.6</v>
      </c>
      <c r="H302" s="34">
        <v>26.799999999999997</v>
      </c>
      <c r="I302" s="23">
        <v>31.2</v>
      </c>
      <c r="J302" s="23">
        <v>24.4</v>
      </c>
      <c r="K302" s="25">
        <v>0</v>
      </c>
      <c r="L302" s="25">
        <v>46.25</v>
      </c>
      <c r="M302" s="16" t="s">
        <v>15</v>
      </c>
      <c r="N302" s="13">
        <v>1011.8625000000001</v>
      </c>
      <c r="O302" s="8">
        <v>93.210209183689656</v>
      </c>
      <c r="P302" s="8">
        <v>74.198002320193993</v>
      </c>
      <c r="Q302" s="8">
        <v>73.556542562966825</v>
      </c>
      <c r="R302" s="8">
        <v>83.543740812635036</v>
      </c>
      <c r="S302" s="8">
        <v>5.6363636363636367</v>
      </c>
      <c r="T302" s="6">
        <v>80</v>
      </c>
      <c r="U302" s="20">
        <v>10</v>
      </c>
      <c r="V302" s="12">
        <v>0</v>
      </c>
    </row>
    <row r="303" spans="1:22" s="53" customFormat="1" x14ac:dyDescent="0.35">
      <c r="A303" s="2">
        <v>42945</v>
      </c>
      <c r="B303" s="3">
        <f t="shared" si="18"/>
        <v>2017</v>
      </c>
      <c r="C303" s="3">
        <f t="shared" si="19"/>
        <v>7</v>
      </c>
      <c r="D303" s="3">
        <f t="shared" si="20"/>
        <v>29</v>
      </c>
      <c r="E303" s="4">
        <v>24.6</v>
      </c>
      <c r="F303" s="4">
        <v>29.8</v>
      </c>
      <c r="G303" s="4">
        <v>28.6</v>
      </c>
      <c r="H303" s="34">
        <v>26.9</v>
      </c>
      <c r="I303" s="23">
        <v>31.6</v>
      </c>
      <c r="J303" s="23">
        <v>22.3</v>
      </c>
      <c r="K303" s="25">
        <v>3.8</v>
      </c>
      <c r="L303" s="25">
        <v>68.75</v>
      </c>
      <c r="M303" s="16" t="s">
        <v>15</v>
      </c>
      <c r="N303" s="13">
        <v>1011.6750000000001</v>
      </c>
      <c r="O303" s="8">
        <v>93.24095632843418</v>
      </c>
      <c r="P303" s="8">
        <v>74.2000479191897</v>
      </c>
      <c r="Q303" s="8">
        <v>77.026996586386716</v>
      </c>
      <c r="R303" s="8">
        <v>84.427239290611183</v>
      </c>
      <c r="S303" s="8">
        <v>5.1764705882352944</v>
      </c>
      <c r="T303" s="6">
        <v>150</v>
      </c>
      <c r="U303" s="20">
        <v>11</v>
      </c>
      <c r="V303" s="12">
        <v>0</v>
      </c>
    </row>
    <row r="304" spans="1:22" s="53" customFormat="1" x14ac:dyDescent="0.35">
      <c r="A304" s="2">
        <v>42946</v>
      </c>
      <c r="B304" s="3">
        <f t="shared" si="18"/>
        <v>2017</v>
      </c>
      <c r="C304" s="3">
        <f t="shared" si="19"/>
        <v>7</v>
      </c>
      <c r="D304" s="3">
        <f t="shared" si="20"/>
        <v>30</v>
      </c>
      <c r="E304" s="4">
        <v>23.8</v>
      </c>
      <c r="F304" s="4">
        <v>30.6</v>
      </c>
      <c r="G304" s="4">
        <v>28.8</v>
      </c>
      <c r="H304" s="34">
        <v>26.75</v>
      </c>
      <c r="I304" s="23">
        <v>31.6</v>
      </c>
      <c r="J304" s="23">
        <v>21</v>
      </c>
      <c r="K304" s="25" t="s">
        <v>9</v>
      </c>
      <c r="L304" s="25">
        <v>100</v>
      </c>
      <c r="M304" s="16" t="s">
        <v>15</v>
      </c>
      <c r="N304" s="13">
        <v>1010.6833333333331</v>
      </c>
      <c r="O304" s="8">
        <v>87.246440093156778</v>
      </c>
      <c r="P304" s="8">
        <v>65.623147876192149</v>
      </c>
      <c r="Q304" s="8">
        <v>80.645421710364516</v>
      </c>
      <c r="R304" s="8">
        <v>80.190362443217552</v>
      </c>
      <c r="S304" s="8">
        <v>4.9090909090909092</v>
      </c>
      <c r="T304" s="6">
        <v>200</v>
      </c>
      <c r="U304" s="20">
        <v>8</v>
      </c>
      <c r="V304" s="12">
        <v>0</v>
      </c>
    </row>
    <row r="305" spans="1:22" s="53" customFormat="1" x14ac:dyDescent="0.35">
      <c r="A305" s="2">
        <v>42947</v>
      </c>
      <c r="B305" s="3">
        <f t="shared" si="18"/>
        <v>2017</v>
      </c>
      <c r="C305" s="3">
        <f t="shared" si="19"/>
        <v>7</v>
      </c>
      <c r="D305" s="3">
        <f t="shared" si="20"/>
        <v>31</v>
      </c>
      <c r="E305" s="4">
        <v>21</v>
      </c>
      <c r="F305" s="4">
        <v>29.4</v>
      </c>
      <c r="G305" s="4">
        <v>28.6</v>
      </c>
      <c r="H305" s="34">
        <v>25</v>
      </c>
      <c r="I305" s="23">
        <v>31.6</v>
      </c>
      <c r="J305" s="23" t="e">
        <v>#REF!</v>
      </c>
      <c r="K305" s="25" t="s">
        <v>9</v>
      </c>
      <c r="L305" s="25">
        <v>0</v>
      </c>
      <c r="M305" s="16" t="s">
        <v>15</v>
      </c>
      <c r="N305" s="13">
        <v>813.64347826086964</v>
      </c>
      <c r="O305" s="8">
        <v>90.790495083915374</v>
      </c>
      <c r="P305" s="8">
        <v>66.053606270505867</v>
      </c>
      <c r="Q305" s="8">
        <v>64.184632078027249</v>
      </c>
      <c r="R305" s="8">
        <v>77.954807129090966</v>
      </c>
      <c r="S305" s="8">
        <v>6.15</v>
      </c>
      <c r="T305" s="6">
        <v>200</v>
      </c>
      <c r="U305" s="20">
        <v>12</v>
      </c>
      <c r="V305" s="12">
        <v>0</v>
      </c>
    </row>
    <row r="306" spans="1:22" s="53" customFormat="1" x14ac:dyDescent="0.35">
      <c r="A306" s="2">
        <v>42948</v>
      </c>
      <c r="B306" s="3">
        <f t="shared" si="18"/>
        <v>2017</v>
      </c>
      <c r="C306" s="3">
        <f t="shared" si="19"/>
        <v>8</v>
      </c>
      <c r="D306" s="3">
        <f t="shared" si="20"/>
        <v>1</v>
      </c>
      <c r="E306" s="23">
        <v>25.2</v>
      </c>
      <c r="F306" s="23">
        <v>30.6</v>
      </c>
      <c r="G306" s="23">
        <v>30.6</v>
      </c>
      <c r="H306" s="34">
        <v>27.9</v>
      </c>
      <c r="I306" s="23">
        <v>31.8</v>
      </c>
      <c r="J306" s="23">
        <v>24</v>
      </c>
      <c r="K306" s="25" t="s">
        <v>9</v>
      </c>
      <c r="L306" s="25">
        <v>100</v>
      </c>
      <c r="M306" s="9"/>
      <c r="N306" s="23">
        <v>1012.6291666666666</v>
      </c>
      <c r="O306" s="25">
        <v>100</v>
      </c>
      <c r="P306" s="25">
        <v>50.07004129376751</v>
      </c>
      <c r="Q306" s="25">
        <v>52.388471340929065</v>
      </c>
      <c r="R306" s="8">
        <v>75.614628158674137</v>
      </c>
      <c r="S306" s="25">
        <v>6.4117647058823533</v>
      </c>
      <c r="T306" s="24">
        <v>170</v>
      </c>
      <c r="U306" s="25">
        <v>9</v>
      </c>
      <c r="V306" s="24">
        <v>0</v>
      </c>
    </row>
    <row r="307" spans="1:22" s="53" customFormat="1" x14ac:dyDescent="0.35">
      <c r="A307" s="2">
        <v>42949</v>
      </c>
      <c r="B307" s="3">
        <f t="shared" si="18"/>
        <v>2017</v>
      </c>
      <c r="C307" s="3">
        <f t="shared" si="19"/>
        <v>8</v>
      </c>
      <c r="D307" s="3">
        <f t="shared" si="20"/>
        <v>2</v>
      </c>
      <c r="E307" s="23">
        <v>24</v>
      </c>
      <c r="F307" s="23">
        <v>31.4</v>
      </c>
      <c r="G307" s="23">
        <v>29.8</v>
      </c>
      <c r="H307" s="34">
        <v>27.3</v>
      </c>
      <c r="I307" s="23">
        <v>32.6</v>
      </c>
      <c r="J307" s="23">
        <v>23.6</v>
      </c>
      <c r="K307" s="25" t="s">
        <v>9</v>
      </c>
      <c r="L307" s="25">
        <v>100</v>
      </c>
      <c r="M307" s="9"/>
      <c r="N307" s="23">
        <v>1011.7125</v>
      </c>
      <c r="O307" s="25">
        <v>78.412380385525722</v>
      </c>
      <c r="P307" s="25">
        <v>53.137499975628224</v>
      </c>
      <c r="Q307" s="25">
        <v>65.075633698271957</v>
      </c>
      <c r="R307" s="8">
        <v>68.759473611237908</v>
      </c>
      <c r="S307" s="25">
        <v>5</v>
      </c>
      <c r="T307" s="24">
        <v>180</v>
      </c>
      <c r="U307" s="25">
        <v>7</v>
      </c>
      <c r="V307" s="24">
        <v>0</v>
      </c>
    </row>
    <row r="308" spans="1:22" s="53" customFormat="1" x14ac:dyDescent="0.35">
      <c r="A308" s="2">
        <v>42950</v>
      </c>
      <c r="B308" s="3">
        <f t="shared" si="18"/>
        <v>2017</v>
      </c>
      <c r="C308" s="3">
        <f t="shared" si="19"/>
        <v>8</v>
      </c>
      <c r="D308" s="3">
        <f t="shared" si="20"/>
        <v>3</v>
      </c>
      <c r="E308" s="23">
        <v>23.7</v>
      </c>
      <c r="F308" s="23">
        <v>31.2</v>
      </c>
      <c r="G308" s="23">
        <v>29</v>
      </c>
      <c r="H308" s="34">
        <v>26.9</v>
      </c>
      <c r="I308" s="23">
        <v>31.8</v>
      </c>
      <c r="J308" s="23">
        <v>23.6</v>
      </c>
      <c r="K308" s="25" t="s">
        <v>9</v>
      </c>
      <c r="L308" s="25">
        <v>100</v>
      </c>
      <c r="M308" s="9"/>
      <c r="N308" s="23">
        <v>1010.8666666666668</v>
      </c>
      <c r="O308" s="25">
        <v>77.461985405714657</v>
      </c>
      <c r="P308" s="25">
        <v>55.258931738823527</v>
      </c>
      <c r="Q308" s="25">
        <v>65.79627821406568</v>
      </c>
      <c r="R308" s="8">
        <v>68.994795191079632</v>
      </c>
      <c r="S308" s="25">
        <v>5.125</v>
      </c>
      <c r="T308" s="24">
        <v>190</v>
      </c>
      <c r="U308" s="25">
        <v>10</v>
      </c>
      <c r="V308" s="24">
        <v>0</v>
      </c>
    </row>
    <row r="309" spans="1:22" s="53" customFormat="1" x14ac:dyDescent="0.35">
      <c r="A309" s="2">
        <v>42951</v>
      </c>
      <c r="B309" s="3">
        <f t="shared" si="18"/>
        <v>2017</v>
      </c>
      <c r="C309" s="3">
        <f t="shared" si="19"/>
        <v>8</v>
      </c>
      <c r="D309" s="3">
        <f t="shared" si="20"/>
        <v>4</v>
      </c>
      <c r="E309" s="23">
        <v>23.6</v>
      </c>
      <c r="F309" s="23">
        <v>30.2</v>
      </c>
      <c r="G309" s="23">
        <v>29.6</v>
      </c>
      <c r="H309" s="34">
        <v>26.75</v>
      </c>
      <c r="I309" s="23">
        <v>31.4</v>
      </c>
      <c r="J309" s="23">
        <v>22.2</v>
      </c>
      <c r="K309" s="25" t="s">
        <v>9</v>
      </c>
      <c r="L309" s="25">
        <v>100</v>
      </c>
      <c r="M309" s="9"/>
      <c r="N309" s="23">
        <v>926.12916666666649</v>
      </c>
      <c r="O309" s="25">
        <v>75.033533161236448</v>
      </c>
      <c r="P309" s="25">
        <v>55.547331272825481</v>
      </c>
      <c r="Q309" s="25">
        <v>56.225774213663811</v>
      </c>
      <c r="R309" s="8">
        <v>65.460042952240542</v>
      </c>
      <c r="S309" s="25">
        <v>5.875</v>
      </c>
      <c r="T309" s="24">
        <v>190</v>
      </c>
      <c r="U309" s="25">
        <v>9</v>
      </c>
      <c r="V309" s="24">
        <v>0</v>
      </c>
    </row>
    <row r="310" spans="1:22" s="53" customFormat="1" x14ac:dyDescent="0.35">
      <c r="A310" s="2">
        <v>42952</v>
      </c>
      <c r="B310" s="3">
        <f t="shared" si="18"/>
        <v>2017</v>
      </c>
      <c r="C310" s="3">
        <f t="shared" si="19"/>
        <v>8</v>
      </c>
      <c r="D310" s="3">
        <f t="shared" si="20"/>
        <v>5</v>
      </c>
      <c r="E310" s="23">
        <v>0</v>
      </c>
      <c r="F310" s="23">
        <v>31.8</v>
      </c>
      <c r="G310" s="23">
        <v>29.2</v>
      </c>
      <c r="H310" s="34">
        <v>15.25</v>
      </c>
      <c r="I310" s="23">
        <v>32</v>
      </c>
      <c r="J310" s="23">
        <v>0</v>
      </c>
      <c r="K310" s="25" t="s">
        <v>9</v>
      </c>
      <c r="L310" s="25">
        <v>67.5</v>
      </c>
      <c r="M310" s="9"/>
      <c r="N310" s="23">
        <v>1011.6875000000001</v>
      </c>
      <c r="O310" s="25">
        <v>100</v>
      </c>
      <c r="P310" s="25">
        <v>56.915666496109715</v>
      </c>
      <c r="Q310" s="25">
        <v>72.539295992295109</v>
      </c>
      <c r="R310" s="8">
        <v>82.363740622101204</v>
      </c>
      <c r="S310" s="25">
        <v>4.1304347826086953</v>
      </c>
      <c r="T310" s="24">
        <v>190</v>
      </c>
      <c r="U310" s="25">
        <v>7</v>
      </c>
      <c r="V310" s="24">
        <v>0</v>
      </c>
    </row>
    <row r="311" spans="1:22" s="53" customFormat="1" x14ac:dyDescent="0.35">
      <c r="A311" s="2">
        <v>42953</v>
      </c>
      <c r="B311" s="3">
        <f t="shared" si="18"/>
        <v>2017</v>
      </c>
      <c r="C311" s="3">
        <f t="shared" si="19"/>
        <v>8</v>
      </c>
      <c r="D311" s="3">
        <f t="shared" si="20"/>
        <v>6</v>
      </c>
      <c r="E311" s="23">
        <v>23.2</v>
      </c>
      <c r="F311" s="23">
        <v>29.8</v>
      </c>
      <c r="G311" s="23">
        <v>29.3</v>
      </c>
      <c r="H311" s="34">
        <v>26.375</v>
      </c>
      <c r="I311" s="23">
        <v>30.7</v>
      </c>
      <c r="J311" s="23">
        <v>23.2</v>
      </c>
      <c r="K311" s="25" t="s">
        <v>9</v>
      </c>
      <c r="L311" s="25">
        <v>68.75</v>
      </c>
      <c r="M311" s="9"/>
      <c r="N311" s="23">
        <v>1011.4499999999999</v>
      </c>
      <c r="O311" s="25">
        <v>86.217081791937332</v>
      </c>
      <c r="P311" s="25">
        <v>63.783287717427072</v>
      </c>
      <c r="Q311" s="25">
        <v>72.599689121522843</v>
      </c>
      <c r="R311" s="8">
        <v>77.204285105706148</v>
      </c>
      <c r="S311" s="25">
        <v>3.4285714285714284</v>
      </c>
      <c r="T311" s="24">
        <v>200</v>
      </c>
      <c r="U311" s="25">
        <v>7</v>
      </c>
      <c r="V311" s="24">
        <v>0</v>
      </c>
    </row>
    <row r="312" spans="1:22" s="53" customFormat="1" x14ac:dyDescent="0.35">
      <c r="A312" s="2">
        <v>42954</v>
      </c>
      <c r="B312" s="3">
        <f t="shared" si="18"/>
        <v>2017</v>
      </c>
      <c r="C312" s="3">
        <f t="shared" si="19"/>
        <v>8</v>
      </c>
      <c r="D312" s="3">
        <f t="shared" si="20"/>
        <v>7</v>
      </c>
      <c r="E312" s="23">
        <v>24.1</v>
      </c>
      <c r="F312" s="23">
        <v>32</v>
      </c>
      <c r="G312" s="23">
        <v>29.8</v>
      </c>
      <c r="H312" s="34">
        <v>27.5</v>
      </c>
      <c r="I312" s="23">
        <v>32</v>
      </c>
      <c r="J312" s="23">
        <v>23.6</v>
      </c>
      <c r="K312" s="25">
        <v>0.8</v>
      </c>
      <c r="L312" s="25">
        <v>100</v>
      </c>
      <c r="M312" s="9"/>
      <c r="N312" s="23">
        <v>1011.5208333333331</v>
      </c>
      <c r="O312" s="25">
        <v>79.269769888764188</v>
      </c>
      <c r="P312" s="25">
        <v>57.087221993753268</v>
      </c>
      <c r="Q312" s="25">
        <v>66.345347299393481</v>
      </c>
      <c r="R312" s="8">
        <v>70.493027267668779</v>
      </c>
      <c r="S312" s="25">
        <v>5.208333333333333</v>
      </c>
      <c r="T312" s="24">
        <v>190</v>
      </c>
      <c r="U312" s="25">
        <v>11</v>
      </c>
      <c r="V312" s="24">
        <v>0</v>
      </c>
    </row>
    <row r="313" spans="1:22" s="53" customFormat="1" x14ac:dyDescent="0.35">
      <c r="A313" s="2">
        <v>42955</v>
      </c>
      <c r="B313" s="3">
        <f t="shared" si="18"/>
        <v>2017</v>
      </c>
      <c r="C313" s="3">
        <f t="shared" si="19"/>
        <v>8</v>
      </c>
      <c r="D313" s="3">
        <f t="shared" si="20"/>
        <v>8</v>
      </c>
      <c r="E313" s="23">
        <v>23.6</v>
      </c>
      <c r="F313" s="23">
        <v>30.8</v>
      </c>
      <c r="G313" s="23">
        <v>29.4</v>
      </c>
      <c r="H313" s="34">
        <v>26.85</v>
      </c>
      <c r="I313" s="23">
        <v>31.5</v>
      </c>
      <c r="J313" s="23">
        <v>21.8</v>
      </c>
      <c r="K313" s="25" t="s">
        <v>9</v>
      </c>
      <c r="L313" s="25">
        <v>100</v>
      </c>
      <c r="M313" s="9"/>
      <c r="N313" s="23">
        <v>1011.5208333333334</v>
      </c>
      <c r="O313" s="25">
        <v>86.352311676500321</v>
      </c>
      <c r="P313" s="25">
        <v>58.441812941072222</v>
      </c>
      <c r="Q313" s="25">
        <v>71.319595875136969</v>
      </c>
      <c r="R313" s="8">
        <v>75.616508042302456</v>
      </c>
      <c r="S313" s="25">
        <v>4.2608695652173916</v>
      </c>
      <c r="T313" s="24">
        <v>190</v>
      </c>
      <c r="U313" s="25">
        <v>10</v>
      </c>
      <c r="V313" s="24">
        <v>0</v>
      </c>
    </row>
    <row r="314" spans="1:22" s="53" customFormat="1" x14ac:dyDescent="0.35">
      <c r="A314" s="2">
        <v>42956</v>
      </c>
      <c r="B314" s="3">
        <f t="shared" si="18"/>
        <v>2017</v>
      </c>
      <c r="C314" s="3">
        <f t="shared" si="19"/>
        <v>8</v>
      </c>
      <c r="D314" s="3">
        <f t="shared" si="20"/>
        <v>9</v>
      </c>
      <c r="E314" s="23">
        <v>24</v>
      </c>
      <c r="F314" s="23">
        <v>30.8</v>
      </c>
      <c r="G314" s="23">
        <v>28.8</v>
      </c>
      <c r="H314" s="34">
        <v>26.9</v>
      </c>
      <c r="I314" s="23">
        <v>31.2</v>
      </c>
      <c r="J314" s="23">
        <v>23.6</v>
      </c>
      <c r="K314" s="25">
        <v>0</v>
      </c>
      <c r="L314" s="25">
        <v>100</v>
      </c>
      <c r="M314" s="9"/>
      <c r="N314" s="23">
        <v>1011.3458333333332</v>
      </c>
      <c r="O314" s="25">
        <v>83.223800680456719</v>
      </c>
      <c r="P314" s="25">
        <v>60.84376792764008</v>
      </c>
      <c r="Q314" s="25">
        <v>75.047431986304204</v>
      </c>
      <c r="R314" s="8">
        <v>75.584700318714425</v>
      </c>
      <c r="S314" s="25">
        <v>4</v>
      </c>
      <c r="T314" s="24">
        <v>230</v>
      </c>
      <c r="U314" s="25">
        <v>8</v>
      </c>
      <c r="V314" s="24">
        <v>0</v>
      </c>
    </row>
    <row r="315" spans="1:22" s="53" customFormat="1" x14ac:dyDescent="0.35">
      <c r="A315" s="2">
        <v>42957</v>
      </c>
      <c r="B315" s="3">
        <f t="shared" si="18"/>
        <v>2017</v>
      </c>
      <c r="C315" s="3">
        <f t="shared" si="19"/>
        <v>8</v>
      </c>
      <c r="D315" s="3">
        <f t="shared" si="20"/>
        <v>10</v>
      </c>
      <c r="E315" s="23">
        <v>24.8</v>
      </c>
      <c r="F315" s="23">
        <v>30.3</v>
      </c>
      <c r="G315" s="23">
        <v>28.4</v>
      </c>
      <c r="H315" s="34">
        <v>27.075000000000003</v>
      </c>
      <c r="I315" s="23">
        <v>31</v>
      </c>
      <c r="J315" s="23">
        <v>24.8</v>
      </c>
      <c r="K315" s="25" t="s">
        <v>9</v>
      </c>
      <c r="L315" s="25">
        <v>93.75</v>
      </c>
      <c r="M315" s="9"/>
      <c r="N315" s="23">
        <v>1011.2958333333335</v>
      </c>
      <c r="O315" s="25">
        <v>75.747915800567085</v>
      </c>
      <c r="P315" s="25">
        <v>62.288336585651258</v>
      </c>
      <c r="Q315" s="25">
        <v>74.837214552088156</v>
      </c>
      <c r="R315" s="8">
        <v>72.155345684718398</v>
      </c>
      <c r="S315" s="25">
        <v>4</v>
      </c>
      <c r="T315" s="24">
        <v>200</v>
      </c>
      <c r="U315" s="25">
        <v>10</v>
      </c>
      <c r="V315" s="24">
        <v>0</v>
      </c>
    </row>
    <row r="316" spans="1:22" s="53" customFormat="1" x14ac:dyDescent="0.35">
      <c r="A316" s="2">
        <v>42958</v>
      </c>
      <c r="B316" s="3">
        <f t="shared" si="18"/>
        <v>2017</v>
      </c>
      <c r="C316" s="3">
        <f t="shared" si="19"/>
        <v>8</v>
      </c>
      <c r="D316" s="3">
        <f t="shared" si="20"/>
        <v>11</v>
      </c>
      <c r="E316" s="23">
        <v>25.6</v>
      </c>
      <c r="F316" s="23">
        <v>31</v>
      </c>
      <c r="G316" s="23">
        <v>29</v>
      </c>
      <c r="H316" s="34">
        <v>27.8</v>
      </c>
      <c r="I316" s="23">
        <v>31.4</v>
      </c>
      <c r="J316" s="23">
        <v>24.4</v>
      </c>
      <c r="K316" s="25" t="s">
        <v>9</v>
      </c>
      <c r="L316" s="25">
        <v>31.25</v>
      </c>
      <c r="M316" s="9"/>
      <c r="N316" s="23">
        <v>1011.8458333333334</v>
      </c>
      <c r="O316" s="25">
        <v>71.736998697865033</v>
      </c>
      <c r="P316" s="25">
        <v>57.415811559972653</v>
      </c>
      <c r="Q316" s="25">
        <v>73.778576212813334</v>
      </c>
      <c r="R316" s="8">
        <v>68.667096292129017</v>
      </c>
      <c r="S316" s="25">
        <v>4.833333333333333</v>
      </c>
      <c r="T316" s="24">
        <v>200</v>
      </c>
      <c r="U316" s="25">
        <v>8</v>
      </c>
      <c r="V316" s="24">
        <v>0</v>
      </c>
    </row>
    <row r="317" spans="1:22" s="53" customFormat="1" x14ac:dyDescent="0.35">
      <c r="A317" s="2">
        <v>42959</v>
      </c>
      <c r="B317" s="3">
        <f t="shared" si="18"/>
        <v>2017</v>
      </c>
      <c r="C317" s="3">
        <f t="shared" si="19"/>
        <v>8</v>
      </c>
      <c r="D317" s="3">
        <f t="shared" si="20"/>
        <v>12</v>
      </c>
      <c r="E317" s="23">
        <v>24.6</v>
      </c>
      <c r="F317" s="23">
        <v>31</v>
      </c>
      <c r="G317" s="23">
        <v>29.2</v>
      </c>
      <c r="H317" s="34">
        <v>27.35</v>
      </c>
      <c r="I317" s="23">
        <v>31.8</v>
      </c>
      <c r="J317" s="23">
        <v>22.4</v>
      </c>
      <c r="K317" s="25" t="s">
        <v>9</v>
      </c>
      <c r="L317" s="25">
        <v>78.75</v>
      </c>
      <c r="M317" s="9"/>
      <c r="N317" s="23">
        <v>1011.6958333333332</v>
      </c>
      <c r="O317" s="25">
        <v>74.094623499034711</v>
      </c>
      <c r="P317" s="25">
        <v>55.06928232403456</v>
      </c>
      <c r="Q317" s="25">
        <v>69.865159823887396</v>
      </c>
      <c r="R317" s="8">
        <v>68.280922286497841</v>
      </c>
      <c r="S317" s="25">
        <v>4.291666666666667</v>
      </c>
      <c r="T317" s="24">
        <v>190</v>
      </c>
      <c r="U317" s="25">
        <v>8</v>
      </c>
      <c r="V317" s="24">
        <v>0</v>
      </c>
    </row>
    <row r="318" spans="1:22" s="53" customFormat="1" x14ac:dyDescent="0.35">
      <c r="A318" s="2">
        <v>42960</v>
      </c>
      <c r="B318" s="3">
        <f t="shared" si="18"/>
        <v>2017</v>
      </c>
      <c r="C318" s="3">
        <f t="shared" si="19"/>
        <v>8</v>
      </c>
      <c r="D318" s="3">
        <f t="shared" si="20"/>
        <v>13</v>
      </c>
      <c r="E318" s="23">
        <v>24.4</v>
      </c>
      <c r="F318" s="23">
        <v>31.6</v>
      </c>
      <c r="G318" s="23">
        <v>29.8</v>
      </c>
      <c r="H318" s="34">
        <v>27.55</v>
      </c>
      <c r="I318" s="23">
        <v>32.4</v>
      </c>
      <c r="J318" s="23">
        <v>23</v>
      </c>
      <c r="K318" s="25" t="s">
        <v>9</v>
      </c>
      <c r="L318" s="25">
        <v>100</v>
      </c>
      <c r="M318" s="9"/>
      <c r="N318" s="23">
        <v>1010.7291666666665</v>
      </c>
      <c r="O318" s="25">
        <v>83.385726930555947</v>
      </c>
      <c r="P318" s="25">
        <v>55.612226255522238</v>
      </c>
      <c r="Q318" s="25">
        <v>68.939712561277815</v>
      </c>
      <c r="R318" s="8">
        <v>72.830848169477989</v>
      </c>
      <c r="S318" s="25">
        <v>3.85</v>
      </c>
      <c r="T318" s="24">
        <v>200</v>
      </c>
      <c r="U318" s="25">
        <v>6</v>
      </c>
      <c r="V318" s="24">
        <v>0</v>
      </c>
    </row>
    <row r="319" spans="1:22" s="53" customFormat="1" x14ac:dyDescent="0.35">
      <c r="A319" s="2">
        <v>42961</v>
      </c>
      <c r="B319" s="3">
        <f t="shared" si="18"/>
        <v>2017</v>
      </c>
      <c r="C319" s="3">
        <f t="shared" si="19"/>
        <v>8</v>
      </c>
      <c r="D319" s="3">
        <f t="shared" si="20"/>
        <v>14</v>
      </c>
      <c r="E319" s="23">
        <v>25.3</v>
      </c>
      <c r="F319" s="23">
        <v>30.2</v>
      </c>
      <c r="G319" s="23">
        <v>29.4</v>
      </c>
      <c r="H319" s="34">
        <v>27.549999999999997</v>
      </c>
      <c r="I319" s="23">
        <v>31.6</v>
      </c>
      <c r="J319" s="23">
        <v>23.4</v>
      </c>
      <c r="K319" s="25" t="s">
        <v>9</v>
      </c>
      <c r="L319" s="25">
        <v>100</v>
      </c>
      <c r="M319" s="9"/>
      <c r="N319" s="23">
        <v>1010.9583333333334</v>
      </c>
      <c r="O319" s="25">
        <v>81.396354159833578</v>
      </c>
      <c r="P319" s="25">
        <v>62.838985308075578</v>
      </c>
      <c r="Q319" s="25">
        <v>75.355006229605166</v>
      </c>
      <c r="R319" s="8">
        <v>75.246674964336975</v>
      </c>
      <c r="S319" s="25">
        <v>3.1304347826086958</v>
      </c>
      <c r="T319" s="24">
        <v>190</v>
      </c>
      <c r="U319" s="25">
        <v>7</v>
      </c>
      <c r="V319" s="24">
        <v>0</v>
      </c>
    </row>
    <row r="320" spans="1:22" s="53" customFormat="1" x14ac:dyDescent="0.35">
      <c r="A320" s="2">
        <v>42962</v>
      </c>
      <c r="B320" s="3">
        <f t="shared" si="18"/>
        <v>2017</v>
      </c>
      <c r="C320" s="3">
        <f t="shared" si="19"/>
        <v>8</v>
      </c>
      <c r="D320" s="3">
        <f t="shared" si="20"/>
        <v>15</v>
      </c>
      <c r="E320" s="23">
        <v>23.9</v>
      </c>
      <c r="F320" s="23">
        <v>31</v>
      </c>
      <c r="G320" s="23">
        <v>30</v>
      </c>
      <c r="H320" s="34">
        <v>27.2</v>
      </c>
      <c r="I320" s="23">
        <v>31.8</v>
      </c>
      <c r="J320" s="23">
        <v>23.43</v>
      </c>
      <c r="K320" s="25" t="s">
        <v>9</v>
      </c>
      <c r="L320" s="25">
        <v>100</v>
      </c>
      <c r="M320" s="9"/>
      <c r="N320" s="23">
        <v>1011.0791666666665</v>
      </c>
      <c r="O320" s="25">
        <v>92.284560824303327</v>
      </c>
      <c r="P320" s="25">
        <v>50.490238327400071</v>
      </c>
      <c r="Q320" s="25">
        <v>56.575082822929978</v>
      </c>
      <c r="R320" s="8">
        <v>72.908610699734183</v>
      </c>
      <c r="S320" s="25" t="e">
        <v>#N/A</v>
      </c>
      <c r="T320" s="24">
        <v>150</v>
      </c>
      <c r="U320" s="25" t="e">
        <v>#N/A</v>
      </c>
      <c r="V320" s="24">
        <v>0</v>
      </c>
    </row>
    <row r="321" spans="1:22" s="53" customFormat="1" x14ac:dyDescent="0.35">
      <c r="A321" s="2">
        <v>42963</v>
      </c>
      <c r="B321" s="3">
        <f t="shared" si="18"/>
        <v>2017</v>
      </c>
      <c r="C321" s="3">
        <f t="shared" si="19"/>
        <v>8</v>
      </c>
      <c r="D321" s="3">
        <f t="shared" si="20"/>
        <v>16</v>
      </c>
      <c r="E321" s="23">
        <v>23.4</v>
      </c>
      <c r="F321" s="23">
        <v>32</v>
      </c>
      <c r="G321" s="23">
        <v>28.2</v>
      </c>
      <c r="H321" s="34">
        <v>26.75</v>
      </c>
      <c r="I321" s="23">
        <v>33</v>
      </c>
      <c r="J321" s="23">
        <v>22.4</v>
      </c>
      <c r="K321" s="25" t="s">
        <v>9</v>
      </c>
      <c r="L321" s="25">
        <v>100</v>
      </c>
      <c r="M321" s="9"/>
      <c r="N321" s="23">
        <v>1010.0750000000002</v>
      </c>
      <c r="O321" s="25">
        <v>78.106218928480715</v>
      </c>
      <c r="P321" s="25">
        <v>44.984322870364515</v>
      </c>
      <c r="Q321" s="25">
        <v>69.239948438376658</v>
      </c>
      <c r="R321" s="8">
        <v>67.609177291425652</v>
      </c>
      <c r="S321" s="25" t="e">
        <v>#N/A</v>
      </c>
      <c r="T321" s="24">
        <v>200</v>
      </c>
      <c r="U321" s="25" t="e">
        <v>#N/A</v>
      </c>
      <c r="V321" s="24">
        <v>0</v>
      </c>
    </row>
    <row r="322" spans="1:22" s="53" customFormat="1" x14ac:dyDescent="0.35">
      <c r="A322" s="2">
        <v>42964</v>
      </c>
      <c r="B322" s="3">
        <f t="shared" si="18"/>
        <v>2017</v>
      </c>
      <c r="C322" s="3">
        <f t="shared" si="19"/>
        <v>8</v>
      </c>
      <c r="D322" s="3">
        <f t="shared" si="20"/>
        <v>17</v>
      </c>
      <c r="E322" s="23">
        <v>22.8</v>
      </c>
      <c r="F322" s="23">
        <v>30.2</v>
      </c>
      <c r="G322" s="23">
        <v>28.8</v>
      </c>
      <c r="H322" s="34">
        <v>26.15</v>
      </c>
      <c r="I322" s="23">
        <v>31</v>
      </c>
      <c r="J322" s="23">
        <v>22.8</v>
      </c>
      <c r="K322" s="25" t="s">
        <v>9</v>
      </c>
      <c r="L322" s="25">
        <v>95</v>
      </c>
      <c r="M322" s="9"/>
      <c r="N322" s="23">
        <v>1010.1749999999998</v>
      </c>
      <c r="O322" s="25">
        <v>71.340796763721102</v>
      </c>
      <c r="P322" s="25">
        <v>52.017476611379308</v>
      </c>
      <c r="Q322" s="25">
        <v>63.058223533554937</v>
      </c>
      <c r="R322" s="8">
        <v>64.439323418094119</v>
      </c>
      <c r="S322" s="25">
        <v>4.958333333333333</v>
      </c>
      <c r="T322" s="24">
        <v>200</v>
      </c>
      <c r="U322" s="25">
        <v>10</v>
      </c>
      <c r="V322" s="24">
        <v>0</v>
      </c>
    </row>
    <row r="323" spans="1:22" s="53" customFormat="1" x14ac:dyDescent="0.35">
      <c r="A323" s="2">
        <v>42965</v>
      </c>
      <c r="B323" s="3">
        <f t="shared" si="18"/>
        <v>2017</v>
      </c>
      <c r="C323" s="3">
        <f t="shared" si="19"/>
        <v>8</v>
      </c>
      <c r="D323" s="3">
        <f t="shared" si="20"/>
        <v>18</v>
      </c>
      <c r="E323" s="23">
        <v>24.3</v>
      </c>
      <c r="F323" s="23">
        <v>30</v>
      </c>
      <c r="G323" s="23">
        <v>29</v>
      </c>
      <c r="H323" s="34">
        <v>26.9</v>
      </c>
      <c r="I323" s="23">
        <v>32</v>
      </c>
      <c r="J323" s="23">
        <v>24.3</v>
      </c>
      <c r="K323" s="25">
        <v>0</v>
      </c>
      <c r="L323" s="25">
        <v>71.25</v>
      </c>
      <c r="M323" s="9"/>
      <c r="N323" s="23">
        <v>1011.6083333333335</v>
      </c>
      <c r="O323" s="25">
        <v>77.011538636130723</v>
      </c>
      <c r="P323" s="25">
        <v>56.547520299815176</v>
      </c>
      <c r="Q323" s="25">
        <v>67.09350512908189</v>
      </c>
      <c r="R323" s="8">
        <v>69.416025675289632</v>
      </c>
      <c r="S323" s="25">
        <v>5.375</v>
      </c>
      <c r="T323" s="24">
        <v>190</v>
      </c>
      <c r="U323" s="25">
        <v>10</v>
      </c>
      <c r="V323" s="24">
        <v>0</v>
      </c>
    </row>
    <row r="324" spans="1:22" s="53" customFormat="1" x14ac:dyDescent="0.35">
      <c r="A324" s="2">
        <v>42966</v>
      </c>
      <c r="B324" s="3">
        <f t="shared" si="18"/>
        <v>2017</v>
      </c>
      <c r="C324" s="3">
        <f t="shared" si="19"/>
        <v>8</v>
      </c>
      <c r="D324" s="3">
        <f t="shared" si="20"/>
        <v>19</v>
      </c>
      <c r="E324" s="23">
        <v>24.6</v>
      </c>
      <c r="F324" s="23">
        <v>31.4</v>
      </c>
      <c r="G324" s="23">
        <v>29.4</v>
      </c>
      <c r="H324" s="34">
        <v>27.5</v>
      </c>
      <c r="I324" s="23">
        <v>32.200000000000003</v>
      </c>
      <c r="J324" s="23">
        <v>24</v>
      </c>
      <c r="K324" s="25" t="s">
        <v>9</v>
      </c>
      <c r="L324" s="25">
        <v>93.75</v>
      </c>
      <c r="M324" s="9"/>
      <c r="N324" s="23">
        <v>1011.3416666666667</v>
      </c>
      <c r="O324" s="25">
        <v>77.943412748279371</v>
      </c>
      <c r="P324" s="25">
        <v>54.849630051788182</v>
      </c>
      <c r="Q324" s="25">
        <v>69.996852358318023</v>
      </c>
      <c r="R324" s="8">
        <v>70.183326976666237</v>
      </c>
      <c r="S324" s="25">
        <v>5.541666666666667</v>
      </c>
      <c r="T324" s="24">
        <v>170</v>
      </c>
      <c r="U324" s="25">
        <v>10</v>
      </c>
      <c r="V324" s="24">
        <v>0</v>
      </c>
    </row>
    <row r="325" spans="1:22" s="53" customFormat="1" x14ac:dyDescent="0.35">
      <c r="A325" s="2">
        <v>42967</v>
      </c>
      <c r="B325" s="3">
        <f t="shared" si="18"/>
        <v>2017</v>
      </c>
      <c r="C325" s="3">
        <f t="shared" si="19"/>
        <v>8</v>
      </c>
      <c r="D325" s="3">
        <f t="shared" si="20"/>
        <v>20</v>
      </c>
      <c r="E325" s="23">
        <v>24.6</v>
      </c>
      <c r="F325" s="23">
        <v>31.6</v>
      </c>
      <c r="G325" s="23">
        <v>28.8</v>
      </c>
      <c r="H325" s="34">
        <v>27.400000000000002</v>
      </c>
      <c r="I325" s="23">
        <v>32.4</v>
      </c>
      <c r="J325" s="23">
        <v>23.4</v>
      </c>
      <c r="K325" s="25" t="s">
        <v>9</v>
      </c>
      <c r="L325" s="25">
        <v>100</v>
      </c>
      <c r="M325" s="9"/>
      <c r="N325" s="23">
        <v>1009.9749999999998</v>
      </c>
      <c r="O325" s="25">
        <v>72.573340499649831</v>
      </c>
      <c r="P325" s="25">
        <v>54.473947968301474</v>
      </c>
      <c r="Q325" s="25">
        <v>72.32633377965594</v>
      </c>
      <c r="R325" s="8">
        <v>67.986740686814272</v>
      </c>
      <c r="S325" s="25">
        <v>5.25</v>
      </c>
      <c r="T325" s="24">
        <v>190</v>
      </c>
      <c r="U325" s="25">
        <v>12</v>
      </c>
      <c r="V325" s="24">
        <v>0</v>
      </c>
    </row>
    <row r="326" spans="1:22" s="53" customFormat="1" x14ac:dyDescent="0.35">
      <c r="A326" s="2">
        <v>42968</v>
      </c>
      <c r="B326" s="3">
        <f t="shared" si="18"/>
        <v>2017</v>
      </c>
      <c r="C326" s="3">
        <f t="shared" si="19"/>
        <v>8</v>
      </c>
      <c r="D326" s="3">
        <f t="shared" si="20"/>
        <v>21</v>
      </c>
      <c r="E326" s="23">
        <v>22.6</v>
      </c>
      <c r="F326" s="23">
        <v>31.4</v>
      </c>
      <c r="G326" s="23">
        <v>29.2</v>
      </c>
      <c r="H326" s="34">
        <v>26.45</v>
      </c>
      <c r="I326" s="23">
        <v>32.200000000000003</v>
      </c>
      <c r="J326" s="23">
        <v>22.6</v>
      </c>
      <c r="K326" s="25" t="s">
        <v>9</v>
      </c>
      <c r="L326" s="25">
        <v>100</v>
      </c>
      <c r="M326" s="9"/>
      <c r="N326" s="23">
        <v>1010</v>
      </c>
      <c r="O326" s="25">
        <v>86.01509660019407</v>
      </c>
      <c r="P326" s="25">
        <v>50.899966497332294</v>
      </c>
      <c r="Q326" s="25">
        <v>68.561996391459118</v>
      </c>
      <c r="R326" s="8">
        <v>72.87303902229489</v>
      </c>
      <c r="S326" s="25">
        <v>5.9565217391304346</v>
      </c>
      <c r="T326" s="24">
        <v>170</v>
      </c>
      <c r="U326" s="25">
        <v>12</v>
      </c>
      <c r="V326" s="24">
        <v>0</v>
      </c>
    </row>
    <row r="327" spans="1:22" s="53" customFormat="1" x14ac:dyDescent="0.35">
      <c r="A327" s="2">
        <v>42969</v>
      </c>
      <c r="B327" s="3">
        <f t="shared" si="18"/>
        <v>2017</v>
      </c>
      <c r="C327" s="3">
        <f t="shared" si="19"/>
        <v>8</v>
      </c>
      <c r="D327" s="3">
        <f t="shared" si="20"/>
        <v>22</v>
      </c>
      <c r="E327" s="23">
        <v>23.6</v>
      </c>
      <c r="F327" s="23">
        <v>31.1</v>
      </c>
      <c r="G327" s="23">
        <v>29</v>
      </c>
      <c r="H327" s="34">
        <v>26.825000000000003</v>
      </c>
      <c r="I327" s="23">
        <v>32</v>
      </c>
      <c r="J327" s="23">
        <v>23.6</v>
      </c>
      <c r="K327" s="25" t="s">
        <v>9</v>
      </c>
      <c r="L327" s="25">
        <v>100</v>
      </c>
      <c r="M327" s="9"/>
      <c r="N327" s="23">
        <v>1010.6916666666669</v>
      </c>
      <c r="O327" s="25">
        <v>78.213864844876568</v>
      </c>
      <c r="P327" s="25">
        <v>53.43926468628969</v>
      </c>
      <c r="Q327" s="25">
        <v>65.799134334170532</v>
      </c>
      <c r="R327" s="8">
        <v>68.916532177553336</v>
      </c>
      <c r="S327" s="25">
        <v>5.458333333333333</v>
      </c>
      <c r="T327" s="24">
        <v>190</v>
      </c>
      <c r="U327" s="25">
        <v>11</v>
      </c>
      <c r="V327" s="24">
        <v>0</v>
      </c>
    </row>
    <row r="328" spans="1:22" s="53" customFormat="1" x14ac:dyDescent="0.35">
      <c r="A328" s="2">
        <v>42970</v>
      </c>
      <c r="B328" s="3">
        <f t="shared" si="18"/>
        <v>2017</v>
      </c>
      <c r="C328" s="3">
        <f t="shared" si="19"/>
        <v>8</v>
      </c>
      <c r="D328" s="3">
        <f t="shared" si="20"/>
        <v>23</v>
      </c>
      <c r="E328" s="23">
        <v>24.2</v>
      </c>
      <c r="F328" s="23">
        <v>30.4</v>
      </c>
      <c r="G328" s="23">
        <v>28.8</v>
      </c>
      <c r="H328" s="34">
        <v>26.9</v>
      </c>
      <c r="I328" s="23">
        <v>31.1</v>
      </c>
      <c r="J328" s="23">
        <v>23.8</v>
      </c>
      <c r="K328" s="25" t="s">
        <v>9</v>
      </c>
      <c r="L328" s="25">
        <v>100</v>
      </c>
      <c r="M328" s="9"/>
      <c r="N328" s="23">
        <v>1010.8375000000001</v>
      </c>
      <c r="O328" s="25">
        <v>75.396370755456417</v>
      </c>
      <c r="P328" s="25">
        <v>54.534761776770779</v>
      </c>
      <c r="Q328" s="25">
        <v>65.653301429808096</v>
      </c>
      <c r="R328" s="8">
        <v>67.745201179372927</v>
      </c>
      <c r="S328" s="25">
        <v>5.125</v>
      </c>
      <c r="T328" s="24">
        <v>190</v>
      </c>
      <c r="U328" s="25">
        <v>10</v>
      </c>
      <c r="V328" s="24">
        <v>0</v>
      </c>
    </row>
    <row r="329" spans="1:22" s="53" customFormat="1" x14ac:dyDescent="0.35">
      <c r="A329" s="2">
        <v>42971</v>
      </c>
      <c r="B329" s="3">
        <f t="shared" si="18"/>
        <v>2017</v>
      </c>
      <c r="C329" s="3">
        <f t="shared" si="19"/>
        <v>8</v>
      </c>
      <c r="D329" s="3">
        <f t="shared" si="20"/>
        <v>24</v>
      </c>
      <c r="E329" s="23">
        <v>23.8</v>
      </c>
      <c r="F329" s="23">
        <v>31.5</v>
      </c>
      <c r="G329" s="23">
        <v>29</v>
      </c>
      <c r="H329" s="34">
        <v>27.024999999999999</v>
      </c>
      <c r="I329" s="23">
        <v>32.4</v>
      </c>
      <c r="J329" s="23">
        <v>22.4</v>
      </c>
      <c r="K329" s="25" t="s">
        <v>9</v>
      </c>
      <c r="L329" s="25">
        <v>100</v>
      </c>
      <c r="M329" s="9"/>
      <c r="N329" s="23">
        <v>1010.5708333333333</v>
      </c>
      <c r="O329" s="25">
        <v>83.142798723094089</v>
      </c>
      <c r="P329" s="25">
        <v>59.608080113621462</v>
      </c>
      <c r="Q329" s="25">
        <v>67.107190704584269</v>
      </c>
      <c r="R329" s="8">
        <v>73.250217066098486</v>
      </c>
      <c r="S329" s="25">
        <v>5.708333333333333</v>
      </c>
      <c r="T329" s="24">
        <v>130</v>
      </c>
      <c r="U329" s="25">
        <v>13</v>
      </c>
      <c r="V329" s="24">
        <v>0</v>
      </c>
    </row>
    <row r="330" spans="1:22" s="53" customFormat="1" x14ac:dyDescent="0.35">
      <c r="A330" s="2">
        <v>42972</v>
      </c>
      <c r="B330" s="3">
        <f t="shared" si="18"/>
        <v>2017</v>
      </c>
      <c r="C330" s="3">
        <f t="shared" si="19"/>
        <v>8</v>
      </c>
      <c r="D330" s="3">
        <f t="shared" si="20"/>
        <v>25</v>
      </c>
      <c r="E330" s="23">
        <v>22.8</v>
      </c>
      <c r="F330" s="23">
        <v>32</v>
      </c>
      <c r="G330" s="23">
        <v>28.6</v>
      </c>
      <c r="H330" s="34">
        <v>26.549999999999997</v>
      </c>
      <c r="I330" s="23">
        <v>32.200000000000003</v>
      </c>
      <c r="J330" s="23">
        <v>20.8</v>
      </c>
      <c r="K330" s="25" t="s">
        <v>9</v>
      </c>
      <c r="L330" s="25">
        <v>100</v>
      </c>
      <c r="M330" s="9"/>
      <c r="N330" s="23">
        <v>1010.5041666666669</v>
      </c>
      <c r="O330" s="25">
        <v>87.778014417695431</v>
      </c>
      <c r="P330" s="25">
        <v>49.269377611336054</v>
      </c>
      <c r="Q330" s="25">
        <v>64.194781417084528</v>
      </c>
      <c r="R330" s="8">
        <v>72.255046965952857</v>
      </c>
      <c r="S330" s="25">
        <v>7.166666666666667</v>
      </c>
      <c r="T330" s="24">
        <v>150</v>
      </c>
      <c r="U330" s="25">
        <v>16</v>
      </c>
      <c r="V330" s="24">
        <v>0</v>
      </c>
    </row>
    <row r="331" spans="1:22" s="53" customFormat="1" x14ac:dyDescent="0.35">
      <c r="A331" s="2">
        <v>42973</v>
      </c>
      <c r="B331" s="3">
        <f t="shared" si="18"/>
        <v>2017</v>
      </c>
      <c r="C331" s="3">
        <f t="shared" si="19"/>
        <v>8</v>
      </c>
      <c r="D331" s="3">
        <f t="shared" si="20"/>
        <v>26</v>
      </c>
      <c r="E331" s="23">
        <v>21</v>
      </c>
      <c r="F331" s="23">
        <v>30.8</v>
      </c>
      <c r="G331" s="23">
        <v>28.6</v>
      </c>
      <c r="H331" s="34">
        <v>25.35</v>
      </c>
      <c r="I331" s="23">
        <v>31.2</v>
      </c>
      <c r="J331" s="23">
        <v>21</v>
      </c>
      <c r="K331" s="25" t="s">
        <v>9</v>
      </c>
      <c r="L331" s="25">
        <v>100</v>
      </c>
      <c r="M331" s="9"/>
      <c r="N331" s="23">
        <v>1010.0916666666666</v>
      </c>
      <c r="O331" s="25">
        <v>88.992229132779428</v>
      </c>
      <c r="P331" s="25">
        <v>53.745979868918589</v>
      </c>
      <c r="Q331" s="25">
        <v>68.160036085049128</v>
      </c>
      <c r="R331" s="8">
        <v>74.972618554881649</v>
      </c>
      <c r="S331" s="25">
        <v>5.8636363636363633</v>
      </c>
      <c r="T331" s="24">
        <v>200</v>
      </c>
      <c r="U331" s="25">
        <v>11</v>
      </c>
      <c r="V331" s="24">
        <v>0</v>
      </c>
    </row>
    <row r="332" spans="1:22" s="53" customFormat="1" x14ac:dyDescent="0.35">
      <c r="A332" s="2">
        <v>42974</v>
      </c>
      <c r="B332" s="3">
        <f t="shared" si="18"/>
        <v>2017</v>
      </c>
      <c r="C332" s="3">
        <f t="shared" si="19"/>
        <v>8</v>
      </c>
      <c r="D332" s="3">
        <f t="shared" si="20"/>
        <v>27</v>
      </c>
      <c r="E332" s="23">
        <v>23</v>
      </c>
      <c r="F332" s="23">
        <v>30.6</v>
      </c>
      <c r="G332" s="23">
        <v>29</v>
      </c>
      <c r="H332" s="34">
        <v>26.4</v>
      </c>
      <c r="I332" s="23">
        <v>31.4</v>
      </c>
      <c r="J332" s="23">
        <v>23</v>
      </c>
      <c r="K332" s="25" t="s">
        <v>9</v>
      </c>
      <c r="L332" s="25">
        <v>100</v>
      </c>
      <c r="M332" s="9"/>
      <c r="N332" s="23">
        <v>1009.6624999999998</v>
      </c>
      <c r="O332" s="25">
        <v>82.814650450350229</v>
      </c>
      <c r="P332" s="25">
        <v>60.098457222273161</v>
      </c>
      <c r="Q332" s="25">
        <v>64.507468228411526</v>
      </c>
      <c r="R332" s="8">
        <v>72.558806587846291</v>
      </c>
      <c r="S332" s="25">
        <v>6.333333333333333</v>
      </c>
      <c r="T332" s="24">
        <v>90</v>
      </c>
      <c r="U332" s="25">
        <v>12</v>
      </c>
      <c r="V332" s="24">
        <v>0</v>
      </c>
    </row>
    <row r="333" spans="1:22" s="53" customFormat="1" x14ac:dyDescent="0.35">
      <c r="A333" s="2">
        <v>42975</v>
      </c>
      <c r="B333" s="3">
        <f t="shared" si="18"/>
        <v>2017</v>
      </c>
      <c r="C333" s="3">
        <f t="shared" si="19"/>
        <v>8</v>
      </c>
      <c r="D333" s="3">
        <f t="shared" si="20"/>
        <v>28</v>
      </c>
      <c r="E333" s="23">
        <v>23.8</v>
      </c>
      <c r="F333" s="23">
        <v>30.8</v>
      </c>
      <c r="G333" s="23">
        <v>29</v>
      </c>
      <c r="H333" s="34">
        <v>26.85</v>
      </c>
      <c r="I333" s="23">
        <v>31.8</v>
      </c>
      <c r="J333" s="23">
        <v>23.7</v>
      </c>
      <c r="K333" s="25" t="s">
        <v>9</v>
      </c>
      <c r="L333" s="25">
        <v>100</v>
      </c>
      <c r="M333" s="9"/>
      <c r="N333" s="23">
        <v>1010.125</v>
      </c>
      <c r="O333" s="25">
        <v>83.149266084518317</v>
      </c>
      <c r="P333" s="25">
        <v>59.651259192681572</v>
      </c>
      <c r="Q333" s="25">
        <v>64.504493103302323</v>
      </c>
      <c r="R333" s="8">
        <v>72.61357111625513</v>
      </c>
      <c r="S333" s="25">
        <v>7.041666666666667</v>
      </c>
      <c r="T333" s="24">
        <v>140</v>
      </c>
      <c r="U333" s="25">
        <v>15</v>
      </c>
      <c r="V333" s="24">
        <v>0</v>
      </c>
    </row>
    <row r="334" spans="1:22" s="53" customFormat="1" x14ac:dyDescent="0.35">
      <c r="A334" s="2">
        <v>42976</v>
      </c>
      <c r="B334" s="3">
        <f t="shared" si="18"/>
        <v>2017</v>
      </c>
      <c r="C334" s="3">
        <f t="shared" si="19"/>
        <v>8</v>
      </c>
      <c r="D334" s="3">
        <f t="shared" si="20"/>
        <v>29</v>
      </c>
      <c r="E334" s="23">
        <v>24.3</v>
      </c>
      <c r="F334" s="23">
        <v>31.8</v>
      </c>
      <c r="G334" s="23">
        <v>28.8</v>
      </c>
      <c r="H334" s="34">
        <v>27.3</v>
      </c>
      <c r="I334" s="23">
        <v>32.4</v>
      </c>
      <c r="J334" s="23">
        <v>22.8</v>
      </c>
      <c r="K334" s="25" t="s">
        <v>9</v>
      </c>
      <c r="L334" s="25">
        <v>90</v>
      </c>
      <c r="M334" s="9"/>
      <c r="N334" s="23">
        <v>1010.3833333333333</v>
      </c>
      <c r="O334" s="25">
        <v>77.800674990183367</v>
      </c>
      <c r="P334" s="25">
        <v>59.262040433143483</v>
      </c>
      <c r="Q334" s="25">
        <v>65.655227660597077</v>
      </c>
      <c r="R334" s="8">
        <v>70.12965451852682</v>
      </c>
      <c r="S334" s="25">
        <v>6.083333333333333</v>
      </c>
      <c r="T334" s="24">
        <v>40</v>
      </c>
      <c r="U334" s="25">
        <v>12</v>
      </c>
      <c r="V334" s="24">
        <v>0</v>
      </c>
    </row>
    <row r="335" spans="1:22" s="53" customFormat="1" x14ac:dyDescent="0.35">
      <c r="A335" s="2">
        <v>42977</v>
      </c>
      <c r="B335" s="3">
        <f t="shared" si="18"/>
        <v>2017</v>
      </c>
      <c r="C335" s="3">
        <f t="shared" si="19"/>
        <v>8</v>
      </c>
      <c r="D335" s="3">
        <f t="shared" si="20"/>
        <v>30</v>
      </c>
      <c r="E335" s="23">
        <v>22.8</v>
      </c>
      <c r="F335" s="23">
        <v>30</v>
      </c>
      <c r="G335" s="23">
        <v>28.4</v>
      </c>
      <c r="H335" s="34">
        <v>26</v>
      </c>
      <c r="I335" s="23">
        <v>30.8</v>
      </c>
      <c r="J335" s="23">
        <v>22.8</v>
      </c>
      <c r="K335" s="25">
        <v>10</v>
      </c>
      <c r="L335" s="25">
        <v>100</v>
      </c>
      <c r="M335" s="9"/>
      <c r="N335" s="23">
        <v>1011.5333333333336</v>
      </c>
      <c r="O335" s="25">
        <v>80.238082678664441</v>
      </c>
      <c r="P335" s="25">
        <v>57.76733190349178</v>
      </c>
      <c r="Q335" s="25">
        <v>70.71430729449591</v>
      </c>
      <c r="R335" s="8">
        <v>72.239451138829139</v>
      </c>
      <c r="S335" s="25">
        <v>5.6521739130434785</v>
      </c>
      <c r="T335" s="24">
        <v>40</v>
      </c>
      <c r="U335" s="25">
        <v>14</v>
      </c>
      <c r="V335" s="24">
        <v>0</v>
      </c>
    </row>
    <row r="336" spans="1:22" s="53" customFormat="1" x14ac:dyDescent="0.35">
      <c r="A336" s="2">
        <v>42978</v>
      </c>
      <c r="B336" s="3">
        <f t="shared" si="18"/>
        <v>2017</v>
      </c>
      <c r="C336" s="3">
        <f t="shared" si="19"/>
        <v>8</v>
      </c>
      <c r="D336" s="3">
        <f t="shared" si="20"/>
        <v>31</v>
      </c>
      <c r="E336" s="23">
        <v>24</v>
      </c>
      <c r="F336" s="23">
        <v>30.9</v>
      </c>
      <c r="G336" s="23">
        <v>28.4</v>
      </c>
      <c r="H336" s="34">
        <v>26.825000000000003</v>
      </c>
      <c r="I336" s="23">
        <v>31</v>
      </c>
      <c r="J336" s="23" t="e">
        <v>#REF!</v>
      </c>
      <c r="K336" s="25" t="s">
        <v>9</v>
      </c>
      <c r="L336" s="25">
        <v>0</v>
      </c>
      <c r="M336" s="9"/>
      <c r="N336" s="23">
        <v>812.68260869565199</v>
      </c>
      <c r="O336" s="25">
        <v>83.216878036824724</v>
      </c>
      <c r="P336" s="25">
        <v>57.921157559194469</v>
      </c>
      <c r="Q336" s="25">
        <v>72.078857124643676</v>
      </c>
      <c r="R336" s="8">
        <v>74.108442689371898</v>
      </c>
      <c r="S336" s="25">
        <v>5</v>
      </c>
      <c r="T336" s="24">
        <v>180</v>
      </c>
      <c r="U336" s="25">
        <v>10</v>
      </c>
      <c r="V336" s="24">
        <v>0</v>
      </c>
    </row>
    <row r="337" spans="1:22" s="53" customFormat="1" x14ac:dyDescent="0.35">
      <c r="A337" s="2">
        <v>43009</v>
      </c>
      <c r="B337" s="3">
        <f t="shared" ref="B337:B377" si="21">YEAR(A337)</f>
        <v>2017</v>
      </c>
      <c r="C337" s="3">
        <f t="shared" ref="C337:C377" si="22">MONTH(A337)</f>
        <v>10</v>
      </c>
      <c r="D337" s="3">
        <f t="shared" ref="D337:D377" si="23">DAY(A337)</f>
        <v>1</v>
      </c>
      <c r="E337" s="13">
        <v>28</v>
      </c>
      <c r="F337" s="13">
        <v>32.700000000000003</v>
      </c>
      <c r="G337" s="13">
        <v>29.4</v>
      </c>
      <c r="H337" s="34">
        <v>29.524999999999999</v>
      </c>
      <c r="I337" s="39">
        <v>33.6</v>
      </c>
      <c r="J337" s="39">
        <v>25.2</v>
      </c>
      <c r="K337" s="86">
        <v>0.4</v>
      </c>
      <c r="L337" s="40">
        <v>100</v>
      </c>
      <c r="M337" s="5" t="s">
        <v>15</v>
      </c>
      <c r="N337" s="10">
        <v>1010.2750000000001</v>
      </c>
      <c r="O337" s="11">
        <v>100</v>
      </c>
      <c r="P337" s="11">
        <v>57.110506030905675</v>
      </c>
      <c r="Q337" s="11">
        <v>69.997666386873064</v>
      </c>
      <c r="R337" s="8">
        <v>81.777043104444687</v>
      </c>
      <c r="S337" s="20">
        <v>7.0588235294117645</v>
      </c>
      <c r="T337" s="6">
        <v>30</v>
      </c>
      <c r="U337" s="20">
        <v>13</v>
      </c>
      <c r="V337" s="43">
        <v>0</v>
      </c>
    </row>
    <row r="338" spans="1:22" s="53" customFormat="1" x14ac:dyDescent="0.35">
      <c r="A338" s="2">
        <v>43010</v>
      </c>
      <c r="B338" s="3">
        <f t="shared" si="21"/>
        <v>2017</v>
      </c>
      <c r="C338" s="3">
        <f t="shared" si="22"/>
        <v>10</v>
      </c>
      <c r="D338" s="3">
        <f t="shared" si="23"/>
        <v>2</v>
      </c>
      <c r="E338" s="13">
        <v>25.8</v>
      </c>
      <c r="F338" s="13">
        <v>31.3</v>
      </c>
      <c r="G338" s="13">
        <v>29.6</v>
      </c>
      <c r="H338" s="34">
        <v>28.125</v>
      </c>
      <c r="I338" s="39">
        <v>31.6</v>
      </c>
      <c r="J338" s="39">
        <v>24.9</v>
      </c>
      <c r="K338" s="86">
        <v>4.5</v>
      </c>
      <c r="L338" s="40">
        <v>100</v>
      </c>
      <c r="M338" s="5"/>
      <c r="N338" s="10">
        <v>1009.6416666666664</v>
      </c>
      <c r="O338" s="11">
        <v>83.924011030314773</v>
      </c>
      <c r="P338" s="11">
        <v>63.055255728772821</v>
      </c>
      <c r="Q338" s="11">
        <v>70.134331771368522</v>
      </c>
      <c r="R338" s="8">
        <v>75.259402390192719</v>
      </c>
      <c r="S338" s="20">
        <v>4.916666666666667</v>
      </c>
      <c r="T338" s="6">
        <v>40</v>
      </c>
      <c r="U338" s="20">
        <v>9</v>
      </c>
      <c r="V338" s="43">
        <v>0</v>
      </c>
    </row>
    <row r="339" spans="1:22" s="53" customFormat="1" x14ac:dyDescent="0.35">
      <c r="A339" s="2">
        <v>43011</v>
      </c>
      <c r="B339" s="3">
        <f t="shared" si="21"/>
        <v>2017</v>
      </c>
      <c r="C339" s="3">
        <f t="shared" si="22"/>
        <v>10</v>
      </c>
      <c r="D339" s="3">
        <f t="shared" si="23"/>
        <v>3</v>
      </c>
      <c r="E339" s="13">
        <v>25.4</v>
      </c>
      <c r="F339" s="13">
        <v>32.6</v>
      </c>
      <c r="G339" s="13">
        <v>29.6</v>
      </c>
      <c r="H339" s="34">
        <v>28.25</v>
      </c>
      <c r="I339" s="39">
        <v>32.799999999999997</v>
      </c>
      <c r="J339" s="39">
        <v>25.4</v>
      </c>
      <c r="K339" s="86">
        <v>1.6</v>
      </c>
      <c r="L339" s="40">
        <v>100</v>
      </c>
      <c r="M339" s="5"/>
      <c r="N339" s="10">
        <v>1010.1083333333331</v>
      </c>
      <c r="O339" s="11">
        <v>76.093009030965291</v>
      </c>
      <c r="P339" s="11">
        <v>55.3456230834271</v>
      </c>
      <c r="Q339" s="11">
        <v>71.450862543424577</v>
      </c>
      <c r="R339" s="8">
        <v>69.745625922195572</v>
      </c>
      <c r="S339" s="20">
        <v>5.958333333333333</v>
      </c>
      <c r="T339" s="6">
        <v>180</v>
      </c>
      <c r="U339" s="20">
        <v>11</v>
      </c>
      <c r="V339" s="43">
        <v>0</v>
      </c>
    </row>
    <row r="340" spans="1:22" s="53" customFormat="1" x14ac:dyDescent="0.35">
      <c r="A340" s="2">
        <v>43012</v>
      </c>
      <c r="B340" s="3">
        <f t="shared" si="21"/>
        <v>2017</v>
      </c>
      <c r="C340" s="3">
        <f t="shared" si="22"/>
        <v>10</v>
      </c>
      <c r="D340" s="3">
        <f t="shared" si="23"/>
        <v>4</v>
      </c>
      <c r="E340" s="13">
        <v>26</v>
      </c>
      <c r="F340" s="13">
        <v>32.6</v>
      </c>
      <c r="G340" s="13">
        <v>30</v>
      </c>
      <c r="H340" s="34">
        <v>28.65</v>
      </c>
      <c r="I340" s="39">
        <v>33</v>
      </c>
      <c r="J340" s="39">
        <v>25.3</v>
      </c>
      <c r="K340" s="86" t="s">
        <v>9</v>
      </c>
      <c r="L340" s="40">
        <v>100</v>
      </c>
      <c r="M340" s="5"/>
      <c r="N340" s="10">
        <v>1010.4958333333334</v>
      </c>
      <c r="O340" s="11">
        <v>82.457605676713754</v>
      </c>
      <c r="P340" s="11">
        <v>61.03256796430604</v>
      </c>
      <c r="Q340" s="11">
        <v>70.362833529618058</v>
      </c>
      <c r="R340" s="8">
        <v>74.077653211837898</v>
      </c>
      <c r="S340" s="20">
        <v>7.2173913043478262</v>
      </c>
      <c r="T340" s="6">
        <v>170</v>
      </c>
      <c r="U340" s="20">
        <v>13</v>
      </c>
      <c r="V340" s="43">
        <v>0</v>
      </c>
    </row>
    <row r="341" spans="1:22" s="53" customFormat="1" x14ac:dyDescent="0.35">
      <c r="A341" s="2">
        <v>43013</v>
      </c>
      <c r="B341" s="3">
        <f t="shared" si="21"/>
        <v>2017</v>
      </c>
      <c r="C341" s="3">
        <f t="shared" si="22"/>
        <v>10</v>
      </c>
      <c r="D341" s="3">
        <f t="shared" si="23"/>
        <v>5</v>
      </c>
      <c r="E341" s="13">
        <v>25.8</v>
      </c>
      <c r="F341" s="13">
        <v>32.200000000000003</v>
      </c>
      <c r="G341" s="13">
        <v>29.7</v>
      </c>
      <c r="H341" s="34">
        <v>28.375000000000004</v>
      </c>
      <c r="I341" s="39">
        <v>32</v>
      </c>
      <c r="J341" s="39">
        <v>25.6</v>
      </c>
      <c r="K341" s="86" t="s">
        <v>9</v>
      </c>
      <c r="L341" s="40">
        <v>100</v>
      </c>
      <c r="M341" s="5"/>
      <c r="N341" s="10">
        <v>1009.9208333333332</v>
      </c>
      <c r="O341" s="11">
        <v>79.322840720062132</v>
      </c>
      <c r="P341" s="11">
        <v>57.26461003340826</v>
      </c>
      <c r="Q341" s="11">
        <v>73.499230071061831</v>
      </c>
      <c r="R341" s="8">
        <v>72.352380386148596</v>
      </c>
      <c r="S341" s="20">
        <v>5.208333333333333</v>
      </c>
      <c r="T341" s="6">
        <v>200</v>
      </c>
      <c r="U341" s="20">
        <v>14</v>
      </c>
      <c r="V341" s="43">
        <v>0</v>
      </c>
    </row>
    <row r="342" spans="1:22" s="53" customFormat="1" x14ac:dyDescent="0.35">
      <c r="A342" s="2">
        <v>43014</v>
      </c>
      <c r="B342" s="3">
        <f t="shared" si="21"/>
        <v>2017</v>
      </c>
      <c r="C342" s="3">
        <f t="shared" si="22"/>
        <v>10</v>
      </c>
      <c r="D342" s="3">
        <f t="shared" si="23"/>
        <v>6</v>
      </c>
      <c r="E342" s="13">
        <v>26.3</v>
      </c>
      <c r="F342" s="13">
        <v>32</v>
      </c>
      <c r="G342" s="13">
        <v>29.9</v>
      </c>
      <c r="H342" s="34">
        <v>28.625</v>
      </c>
      <c r="I342" s="39">
        <v>32.6</v>
      </c>
      <c r="J342" s="39">
        <v>25.4</v>
      </c>
      <c r="K342" s="86" t="s">
        <v>9</v>
      </c>
      <c r="L342" s="40">
        <v>100</v>
      </c>
      <c r="M342" s="5"/>
      <c r="N342" s="10">
        <v>1008.6125000000001</v>
      </c>
      <c r="O342" s="11">
        <v>78.812964449207257</v>
      </c>
      <c r="P342" s="11">
        <v>60.594070789765574</v>
      </c>
      <c r="Q342" s="11">
        <v>70.977639621584615</v>
      </c>
      <c r="R342" s="8">
        <v>72.299409827441167</v>
      </c>
      <c r="S342" s="20">
        <v>5.041666666666667</v>
      </c>
      <c r="T342" s="6">
        <v>50</v>
      </c>
      <c r="U342" s="20">
        <v>11</v>
      </c>
      <c r="V342" s="43">
        <v>0</v>
      </c>
    </row>
    <row r="343" spans="1:22" s="53" customFormat="1" x14ac:dyDescent="0.35">
      <c r="A343" s="2">
        <v>43015</v>
      </c>
      <c r="B343" s="3">
        <f t="shared" si="21"/>
        <v>2017</v>
      </c>
      <c r="C343" s="3">
        <f t="shared" si="22"/>
        <v>10</v>
      </c>
      <c r="D343" s="3">
        <f t="shared" si="23"/>
        <v>7</v>
      </c>
      <c r="E343" s="13">
        <v>25.8</v>
      </c>
      <c r="F343" s="13">
        <v>32.4</v>
      </c>
      <c r="G343" s="13">
        <v>29</v>
      </c>
      <c r="H343" s="34">
        <v>28.25</v>
      </c>
      <c r="I343" s="39">
        <v>33</v>
      </c>
      <c r="J343" s="39">
        <v>25.8</v>
      </c>
      <c r="K343" s="86" t="s">
        <v>9</v>
      </c>
      <c r="L343" s="40">
        <v>100</v>
      </c>
      <c r="M343" s="5"/>
      <c r="N343" s="10">
        <v>1008.3083333333331</v>
      </c>
      <c r="O343" s="11">
        <v>82.390689367792163</v>
      </c>
      <c r="P343" s="11">
        <v>62.070214272973757</v>
      </c>
      <c r="Q343" s="11">
        <v>68.440487615263919</v>
      </c>
      <c r="R343" s="8">
        <v>73.823020155955504</v>
      </c>
      <c r="S343" s="20">
        <v>4.5</v>
      </c>
      <c r="T343" s="6">
        <v>190</v>
      </c>
      <c r="U343" s="20">
        <v>11</v>
      </c>
      <c r="V343" s="43">
        <v>0</v>
      </c>
    </row>
    <row r="344" spans="1:22" s="53" customFormat="1" x14ac:dyDescent="0.35">
      <c r="A344" s="2">
        <v>43016</v>
      </c>
      <c r="B344" s="3">
        <f t="shared" si="21"/>
        <v>2017</v>
      </c>
      <c r="C344" s="3">
        <f t="shared" si="22"/>
        <v>10</v>
      </c>
      <c r="D344" s="3">
        <f t="shared" si="23"/>
        <v>8</v>
      </c>
      <c r="E344" s="13">
        <v>26.6</v>
      </c>
      <c r="F344" s="13">
        <v>31.7</v>
      </c>
      <c r="G344" s="13">
        <v>29.6</v>
      </c>
      <c r="H344" s="34">
        <v>28.625</v>
      </c>
      <c r="I344" s="39">
        <v>32.4</v>
      </c>
      <c r="J344" s="39">
        <v>25.3</v>
      </c>
      <c r="K344" s="86" t="s">
        <v>9</v>
      </c>
      <c r="L344" s="40">
        <v>100</v>
      </c>
      <c r="M344" s="5"/>
      <c r="N344" s="10">
        <v>1008.3375000000001</v>
      </c>
      <c r="O344" s="11">
        <v>75.293351613642912</v>
      </c>
      <c r="P344" s="11">
        <v>63.351351926162877</v>
      </c>
      <c r="Q344" s="11">
        <v>70.123870548701362</v>
      </c>
      <c r="R344" s="8">
        <v>71.015481425537516</v>
      </c>
      <c r="S344" s="20">
        <v>5.916666666666667</v>
      </c>
      <c r="T344" s="6">
        <v>50</v>
      </c>
      <c r="U344" s="20">
        <v>10</v>
      </c>
      <c r="V344" s="43">
        <v>0</v>
      </c>
    </row>
    <row r="345" spans="1:22" s="53" customFormat="1" x14ac:dyDescent="0.35">
      <c r="A345" s="2">
        <v>43017</v>
      </c>
      <c r="B345" s="3">
        <f t="shared" si="21"/>
        <v>2017</v>
      </c>
      <c r="C345" s="3">
        <f t="shared" si="22"/>
        <v>10</v>
      </c>
      <c r="D345" s="3">
        <f t="shared" si="23"/>
        <v>9</v>
      </c>
      <c r="E345" s="13">
        <v>26.2</v>
      </c>
      <c r="F345" s="13">
        <v>32.200000000000003</v>
      </c>
      <c r="G345" s="13">
        <v>29.6</v>
      </c>
      <c r="H345" s="34">
        <v>28.549999999999997</v>
      </c>
      <c r="I345" s="39">
        <v>33.799999999999997</v>
      </c>
      <c r="J345" s="39">
        <v>26.2</v>
      </c>
      <c r="K345" s="86" t="s">
        <v>9</v>
      </c>
      <c r="L345" s="40">
        <v>100</v>
      </c>
      <c r="M345" s="5"/>
      <c r="N345" s="10">
        <v>1007.1749999999998</v>
      </c>
      <c r="O345" s="11">
        <v>79.525335852253605</v>
      </c>
      <c r="P345" s="11">
        <v>61.937655516536893</v>
      </c>
      <c r="Q345" s="11">
        <v>74.136112947201255</v>
      </c>
      <c r="R345" s="8">
        <v>73.781110042061343</v>
      </c>
      <c r="S345" s="20" t="e">
        <v>#N/A</v>
      </c>
      <c r="T345" s="6" t="e">
        <v>#N/A</v>
      </c>
      <c r="U345" s="20" t="e">
        <v>#N/A</v>
      </c>
      <c r="V345" s="43">
        <v>0</v>
      </c>
    </row>
    <row r="346" spans="1:22" s="53" customFormat="1" x14ac:dyDescent="0.35">
      <c r="A346" s="2">
        <v>43018</v>
      </c>
      <c r="B346" s="3">
        <f t="shared" si="21"/>
        <v>2017</v>
      </c>
      <c r="C346" s="3">
        <f t="shared" si="22"/>
        <v>10</v>
      </c>
      <c r="D346" s="3">
        <f t="shared" si="23"/>
        <v>10</v>
      </c>
      <c r="E346" s="13">
        <v>26.4</v>
      </c>
      <c r="F346" s="13">
        <v>32.799999999999997</v>
      </c>
      <c r="G346" s="13">
        <v>30.6</v>
      </c>
      <c r="H346" s="34">
        <v>29.049999999999997</v>
      </c>
      <c r="I346" s="39">
        <v>33</v>
      </c>
      <c r="J346" s="39">
        <v>26.4</v>
      </c>
      <c r="K346" s="86" t="s">
        <v>9</v>
      </c>
      <c r="L346" s="40">
        <v>100</v>
      </c>
      <c r="M346" s="5"/>
      <c r="N346" s="10">
        <v>1007.0166666666668</v>
      </c>
      <c r="O346" s="11">
        <v>81.120960956437088</v>
      </c>
      <c r="P346" s="11">
        <v>60.055782150122504</v>
      </c>
      <c r="Q346" s="11">
        <v>65.671093055016115</v>
      </c>
      <c r="R346" s="8">
        <v>71.992199279503197</v>
      </c>
      <c r="S346" s="20" t="e">
        <v>#N/A</v>
      </c>
      <c r="T346" s="6">
        <v>210</v>
      </c>
      <c r="U346" s="20" t="e">
        <v>#N/A</v>
      </c>
      <c r="V346" s="43">
        <v>0</v>
      </c>
    </row>
    <row r="347" spans="1:22" s="53" customFormat="1" x14ac:dyDescent="0.35">
      <c r="A347" s="2">
        <v>43019</v>
      </c>
      <c r="B347" s="3">
        <f t="shared" si="21"/>
        <v>2017</v>
      </c>
      <c r="C347" s="3">
        <f t="shared" si="22"/>
        <v>10</v>
      </c>
      <c r="D347" s="3">
        <f t="shared" si="23"/>
        <v>11</v>
      </c>
      <c r="E347" s="13">
        <v>27</v>
      </c>
      <c r="F347" s="13">
        <v>32.6</v>
      </c>
      <c r="G347" s="13">
        <v>30.2</v>
      </c>
      <c r="H347" s="34">
        <v>29.2</v>
      </c>
      <c r="I347" s="39">
        <v>33.1</v>
      </c>
      <c r="J347" s="39">
        <v>25.7</v>
      </c>
      <c r="K347" s="86" t="s">
        <v>9</v>
      </c>
      <c r="L347" s="40">
        <v>100</v>
      </c>
      <c r="M347" s="5"/>
      <c r="N347" s="10">
        <v>1007.7791666666667</v>
      </c>
      <c r="O347" s="11">
        <v>81.37068923344448</v>
      </c>
      <c r="P347" s="11">
        <v>62.809448435111634</v>
      </c>
      <c r="Q347" s="11">
        <v>73.776388145280308</v>
      </c>
      <c r="R347" s="8">
        <v>74.831803761820225</v>
      </c>
      <c r="S347" s="20">
        <v>7.2272727272727275</v>
      </c>
      <c r="T347" s="6">
        <v>40</v>
      </c>
      <c r="U347" s="37">
        <v>15</v>
      </c>
      <c r="V347" s="58">
        <v>0</v>
      </c>
    </row>
    <row r="348" spans="1:22" s="53" customFormat="1" x14ac:dyDescent="0.35">
      <c r="A348" s="2">
        <v>43020</v>
      </c>
      <c r="B348" s="3">
        <f t="shared" si="21"/>
        <v>2017</v>
      </c>
      <c r="C348" s="3">
        <f t="shared" si="22"/>
        <v>10</v>
      </c>
      <c r="D348" s="3">
        <f t="shared" si="23"/>
        <v>12</v>
      </c>
      <c r="E348" s="13">
        <v>26.4</v>
      </c>
      <c r="F348" s="13">
        <v>32.6</v>
      </c>
      <c r="G348" s="13">
        <v>30.8</v>
      </c>
      <c r="H348" s="34">
        <v>29.05</v>
      </c>
      <c r="I348" s="39">
        <v>33.200000000000003</v>
      </c>
      <c r="J348" s="39">
        <v>24.8</v>
      </c>
      <c r="K348" s="86" t="s">
        <v>9</v>
      </c>
      <c r="L348" s="40">
        <v>100</v>
      </c>
      <c r="M348" s="5"/>
      <c r="N348" s="10">
        <v>1008.3208333333332</v>
      </c>
      <c r="O348" s="11">
        <v>79.613696809301629</v>
      </c>
      <c r="P348" s="11">
        <v>63.390614095904752</v>
      </c>
      <c r="Q348" s="11">
        <v>71.492994395916412</v>
      </c>
      <c r="R348" s="8">
        <v>73.527750527606102</v>
      </c>
      <c r="S348" s="20">
        <v>4.958333333333333</v>
      </c>
      <c r="T348" s="6">
        <v>170</v>
      </c>
      <c r="U348" s="20">
        <v>9</v>
      </c>
      <c r="V348" s="43">
        <v>0</v>
      </c>
    </row>
    <row r="349" spans="1:22" s="53" customFormat="1" x14ac:dyDescent="0.35">
      <c r="A349" s="2">
        <v>43021</v>
      </c>
      <c r="B349" s="3">
        <f t="shared" si="21"/>
        <v>2017</v>
      </c>
      <c r="C349" s="3">
        <f t="shared" si="22"/>
        <v>10</v>
      </c>
      <c r="D349" s="3">
        <f t="shared" si="23"/>
        <v>13</v>
      </c>
      <c r="E349" s="13">
        <v>27.4</v>
      </c>
      <c r="F349" s="13">
        <v>33.799999999999997</v>
      </c>
      <c r="G349" s="13">
        <v>30.4</v>
      </c>
      <c r="H349" s="34">
        <v>29.75</v>
      </c>
      <c r="I349" s="39">
        <v>34.6</v>
      </c>
      <c r="J349" s="39">
        <v>26.4</v>
      </c>
      <c r="K349" s="86" t="s">
        <v>9</v>
      </c>
      <c r="L349" s="40">
        <v>87.5</v>
      </c>
      <c r="M349" s="5"/>
      <c r="N349" s="10">
        <v>1008.0541666666664</v>
      </c>
      <c r="O349" s="11">
        <v>74.287103617330942</v>
      </c>
      <c r="P349" s="11">
        <v>50.994681336710777</v>
      </c>
      <c r="Q349" s="11">
        <v>73.227739590863919</v>
      </c>
      <c r="R349" s="8">
        <v>68.199157040559143</v>
      </c>
      <c r="S349" s="20">
        <v>4.583333333333333</v>
      </c>
      <c r="T349" s="6">
        <v>210</v>
      </c>
      <c r="U349" s="20">
        <v>9</v>
      </c>
      <c r="V349" s="43">
        <v>0</v>
      </c>
    </row>
    <row r="350" spans="1:22" s="53" customFormat="1" x14ac:dyDescent="0.35">
      <c r="A350" s="2">
        <v>43022</v>
      </c>
      <c r="B350" s="3">
        <f t="shared" si="21"/>
        <v>2017</v>
      </c>
      <c r="C350" s="3">
        <f t="shared" si="22"/>
        <v>10</v>
      </c>
      <c r="D350" s="3">
        <f t="shared" si="23"/>
        <v>14</v>
      </c>
      <c r="E350" s="13">
        <v>27</v>
      </c>
      <c r="F350" s="13">
        <v>33.799999999999997</v>
      </c>
      <c r="G350" s="13">
        <v>30.8</v>
      </c>
      <c r="H350" s="34">
        <v>29.65</v>
      </c>
      <c r="I350" s="39">
        <v>34</v>
      </c>
      <c r="J350" s="39">
        <v>26.6</v>
      </c>
      <c r="K350" s="86" t="s">
        <v>9</v>
      </c>
      <c r="L350" s="40">
        <v>68.75</v>
      </c>
      <c r="M350" s="5"/>
      <c r="N350" s="10">
        <v>1008.0924999999999</v>
      </c>
      <c r="O350" s="11">
        <v>69.812682090533215</v>
      </c>
      <c r="P350" s="11">
        <v>55.261548404114258</v>
      </c>
      <c r="Q350" s="11">
        <v>62.106133421728785</v>
      </c>
      <c r="R350" s="8">
        <v>64.24826150172737</v>
      </c>
      <c r="S350" s="20" t="e">
        <v>#N/A</v>
      </c>
      <c r="T350" s="6" t="e">
        <v>#N/A</v>
      </c>
      <c r="U350" s="20" t="e">
        <v>#N/A</v>
      </c>
      <c r="V350" s="43">
        <v>0</v>
      </c>
    </row>
    <row r="351" spans="1:22" s="53" customFormat="1" x14ac:dyDescent="0.35">
      <c r="A351" s="2">
        <v>43023</v>
      </c>
      <c r="B351" s="3">
        <f t="shared" si="21"/>
        <v>2017</v>
      </c>
      <c r="C351" s="3">
        <f t="shared" si="22"/>
        <v>10</v>
      </c>
      <c r="D351" s="3">
        <f t="shared" si="23"/>
        <v>15</v>
      </c>
      <c r="E351" s="13">
        <v>26.8</v>
      </c>
      <c r="F351" s="13">
        <v>33.4</v>
      </c>
      <c r="G351" s="13">
        <v>30.6</v>
      </c>
      <c r="H351" s="34">
        <v>29.4</v>
      </c>
      <c r="I351" s="39">
        <v>34.6</v>
      </c>
      <c r="J351" s="39">
        <v>26.8</v>
      </c>
      <c r="K351" s="86" t="s">
        <v>9</v>
      </c>
      <c r="L351" s="40">
        <v>70</v>
      </c>
      <c r="M351" s="5"/>
      <c r="N351" s="10">
        <v>1008.5041666666665</v>
      </c>
      <c r="O351" s="11">
        <v>69.685094657692275</v>
      </c>
      <c r="P351" s="11">
        <v>52.768107242134263</v>
      </c>
      <c r="Q351" s="11">
        <v>68.177750379863951</v>
      </c>
      <c r="R351" s="8">
        <v>65.079011734345684</v>
      </c>
      <c r="S351" s="20" t="e">
        <v>#N/A</v>
      </c>
      <c r="T351" s="6">
        <v>200</v>
      </c>
      <c r="U351" s="20" t="e">
        <v>#N/A</v>
      </c>
      <c r="V351" s="43">
        <v>0</v>
      </c>
    </row>
    <row r="352" spans="1:22" s="53" customFormat="1" x14ac:dyDescent="0.35">
      <c r="A352" s="2">
        <v>43024</v>
      </c>
      <c r="B352" s="3">
        <f t="shared" si="21"/>
        <v>2017</v>
      </c>
      <c r="C352" s="3">
        <f t="shared" si="22"/>
        <v>10</v>
      </c>
      <c r="D352" s="3">
        <f t="shared" si="23"/>
        <v>16</v>
      </c>
      <c r="E352" s="13">
        <v>27.2</v>
      </c>
      <c r="F352" s="13">
        <v>32.1</v>
      </c>
      <c r="G352" s="13">
        <v>24.2</v>
      </c>
      <c r="H352" s="34">
        <v>27.675000000000001</v>
      </c>
      <c r="I352" s="39">
        <v>32.200000000000003</v>
      </c>
      <c r="J352" s="39">
        <v>23.6</v>
      </c>
      <c r="K352" s="86">
        <v>55.6</v>
      </c>
      <c r="L352" s="40">
        <v>37.5</v>
      </c>
      <c r="M352" s="5"/>
      <c r="N352" s="10">
        <v>1009.3583333333335</v>
      </c>
      <c r="O352" s="11">
        <v>71.347227453372824</v>
      </c>
      <c r="P352" s="11">
        <v>58.355552661789936</v>
      </c>
      <c r="Q352" s="11">
        <v>94.869410115651917</v>
      </c>
      <c r="R352" s="8">
        <v>73.97985442104688</v>
      </c>
      <c r="S352" s="20">
        <v>5.833333333333333</v>
      </c>
      <c r="T352" s="6">
        <v>270</v>
      </c>
      <c r="U352" s="20">
        <v>11</v>
      </c>
      <c r="V352" s="43">
        <v>0</v>
      </c>
    </row>
    <row r="353" spans="1:22" s="53" customFormat="1" x14ac:dyDescent="0.35">
      <c r="A353" s="2">
        <v>43025</v>
      </c>
      <c r="B353" s="3">
        <f t="shared" si="21"/>
        <v>2017</v>
      </c>
      <c r="C353" s="3">
        <f t="shared" si="22"/>
        <v>10</v>
      </c>
      <c r="D353" s="3">
        <f t="shared" si="23"/>
        <v>17</v>
      </c>
      <c r="E353" s="13">
        <v>25.4</v>
      </c>
      <c r="F353" s="13">
        <v>30.4</v>
      </c>
      <c r="G353" s="13">
        <v>28</v>
      </c>
      <c r="H353" s="34">
        <v>27.299999999999997</v>
      </c>
      <c r="I353" s="39">
        <v>31.2</v>
      </c>
      <c r="J353" s="39">
        <v>25.4</v>
      </c>
      <c r="K353" s="86" t="s">
        <v>9</v>
      </c>
      <c r="L353" s="40">
        <v>51.249999999999993</v>
      </c>
      <c r="M353" s="5"/>
      <c r="N353" s="10">
        <v>1009.5458333333331</v>
      </c>
      <c r="O353" s="11">
        <v>91.742189653458766</v>
      </c>
      <c r="P353" s="11">
        <v>71.894287781557992</v>
      </c>
      <c r="Q353" s="11">
        <v>71.851319505334544</v>
      </c>
      <c r="R353" s="8">
        <v>81.807496648452513</v>
      </c>
      <c r="S353" s="20">
        <v>4</v>
      </c>
      <c r="T353" s="6">
        <v>260</v>
      </c>
      <c r="U353" s="20">
        <v>8</v>
      </c>
      <c r="V353" s="12">
        <v>0</v>
      </c>
    </row>
    <row r="354" spans="1:22" s="53" customFormat="1" x14ac:dyDescent="0.35">
      <c r="A354" s="2">
        <v>43026</v>
      </c>
      <c r="B354" s="3">
        <f t="shared" si="21"/>
        <v>2017</v>
      </c>
      <c r="C354" s="3">
        <f t="shared" si="22"/>
        <v>10</v>
      </c>
      <c r="D354" s="3">
        <f t="shared" si="23"/>
        <v>18</v>
      </c>
      <c r="E354" s="13">
        <v>25.8</v>
      </c>
      <c r="F354" s="13">
        <v>32.200000000000003</v>
      </c>
      <c r="G354" s="13">
        <v>28.6</v>
      </c>
      <c r="H354" s="34">
        <v>28.1</v>
      </c>
      <c r="I354" s="39">
        <v>33</v>
      </c>
      <c r="J354" s="39">
        <v>25.8</v>
      </c>
      <c r="K354" s="86" t="s">
        <v>9</v>
      </c>
      <c r="L354" s="40">
        <v>90</v>
      </c>
      <c r="M354" s="5"/>
      <c r="N354" s="10">
        <v>1009.8499999999999</v>
      </c>
      <c r="O354" s="11">
        <v>85.482589286737337</v>
      </c>
      <c r="P354" s="11">
        <v>63.102119461276786</v>
      </c>
      <c r="Q354" s="11">
        <v>76.341050530563621</v>
      </c>
      <c r="R354" s="8">
        <v>77.602087141328767</v>
      </c>
      <c r="S354" s="20">
        <v>5.8695652173913047</v>
      </c>
      <c r="T354" s="6">
        <v>210</v>
      </c>
      <c r="U354" s="20">
        <v>12</v>
      </c>
      <c r="V354" s="43">
        <v>0</v>
      </c>
    </row>
    <row r="355" spans="1:22" s="53" customFormat="1" x14ac:dyDescent="0.35">
      <c r="A355" s="2">
        <v>43027</v>
      </c>
      <c r="B355" s="3">
        <f t="shared" si="21"/>
        <v>2017</v>
      </c>
      <c r="C355" s="3">
        <f t="shared" si="22"/>
        <v>10</v>
      </c>
      <c r="D355" s="3">
        <f t="shared" si="23"/>
        <v>19</v>
      </c>
      <c r="E355" s="13">
        <v>26.8</v>
      </c>
      <c r="F355" s="13">
        <v>32.200000000000003</v>
      </c>
      <c r="G355" s="13">
        <v>30.2</v>
      </c>
      <c r="H355" s="34">
        <v>29.000000000000004</v>
      </c>
      <c r="I355" s="39">
        <v>32.799999999999997</v>
      </c>
      <c r="J355" s="39">
        <v>25.8</v>
      </c>
      <c r="K355" s="86" t="s">
        <v>9</v>
      </c>
      <c r="L355" s="40">
        <v>93.75</v>
      </c>
      <c r="M355" s="5"/>
      <c r="N355" s="10">
        <v>1011.1291666666667</v>
      </c>
      <c r="O355" s="11">
        <v>76.838483607839194</v>
      </c>
      <c r="P355" s="11">
        <v>59.570406452725102</v>
      </c>
      <c r="Q355" s="11">
        <v>67.906155096599633</v>
      </c>
      <c r="R355" s="8">
        <v>70.288382191250776</v>
      </c>
      <c r="S355" s="20">
        <v>5</v>
      </c>
      <c r="T355" s="6">
        <v>210</v>
      </c>
      <c r="U355" s="20">
        <v>10</v>
      </c>
      <c r="V355" s="43">
        <v>0</v>
      </c>
    </row>
    <row r="356" spans="1:22" s="53" customFormat="1" x14ac:dyDescent="0.35">
      <c r="A356" s="2">
        <v>43028</v>
      </c>
      <c r="B356" s="3">
        <f t="shared" si="21"/>
        <v>2017</v>
      </c>
      <c r="C356" s="3">
        <f t="shared" si="22"/>
        <v>10</v>
      </c>
      <c r="D356" s="3">
        <f t="shared" si="23"/>
        <v>20</v>
      </c>
      <c r="E356" s="13">
        <v>26.2</v>
      </c>
      <c r="F356" s="13">
        <v>33.1</v>
      </c>
      <c r="G356" s="13">
        <v>30.2</v>
      </c>
      <c r="H356" s="34">
        <v>28.925000000000001</v>
      </c>
      <c r="I356" s="39">
        <v>34</v>
      </c>
      <c r="J356" s="39">
        <v>25.2</v>
      </c>
      <c r="K356" s="86" t="s">
        <v>9</v>
      </c>
      <c r="L356" s="40">
        <v>81.25</v>
      </c>
      <c r="M356" s="5"/>
      <c r="N356" s="10">
        <v>1011.6166666666667</v>
      </c>
      <c r="O356" s="11">
        <v>75.034705960254527</v>
      </c>
      <c r="P356" s="11">
        <v>56.301387228090825</v>
      </c>
      <c r="Q356" s="11">
        <v>71.783769944594695</v>
      </c>
      <c r="R356" s="8">
        <v>69.538642273298649</v>
      </c>
      <c r="S356" s="20">
        <v>5.166666666666667</v>
      </c>
      <c r="T356" s="6">
        <v>140</v>
      </c>
      <c r="U356" s="20">
        <v>9</v>
      </c>
      <c r="V356" s="43">
        <v>0</v>
      </c>
    </row>
    <row r="357" spans="1:22" s="53" customFormat="1" x14ac:dyDescent="0.35">
      <c r="A357" s="2">
        <v>43029</v>
      </c>
      <c r="B357" s="3">
        <f t="shared" si="21"/>
        <v>2017</v>
      </c>
      <c r="C357" s="3">
        <f t="shared" si="22"/>
        <v>10</v>
      </c>
      <c r="D357" s="3">
        <f t="shared" si="23"/>
        <v>21</v>
      </c>
      <c r="E357" s="13">
        <v>26.3</v>
      </c>
      <c r="F357" s="13">
        <v>32.4</v>
      </c>
      <c r="G357" s="13">
        <v>29.8</v>
      </c>
      <c r="H357" s="34">
        <v>28.7</v>
      </c>
      <c r="I357" s="39">
        <v>33</v>
      </c>
      <c r="J357" s="39">
        <v>25.5</v>
      </c>
      <c r="K357" s="86" t="s">
        <v>9</v>
      </c>
      <c r="L357" s="40">
        <v>100</v>
      </c>
      <c r="M357" s="5"/>
      <c r="N357" s="10">
        <v>1011.2958333333332</v>
      </c>
      <c r="O357" s="11">
        <v>72.898013335871227</v>
      </c>
      <c r="P357" s="11">
        <v>60.871496659385883</v>
      </c>
      <c r="Q357" s="11">
        <v>74.215048978491666</v>
      </c>
      <c r="R357" s="8">
        <v>70.220643077405001</v>
      </c>
      <c r="S357" s="20">
        <v>4.5217391304347823</v>
      </c>
      <c r="T357" s="6">
        <v>180</v>
      </c>
      <c r="U357" s="20">
        <v>10</v>
      </c>
      <c r="V357" s="12">
        <v>0</v>
      </c>
    </row>
    <row r="358" spans="1:22" s="53" customFormat="1" x14ac:dyDescent="0.35">
      <c r="A358" s="2">
        <v>43030</v>
      </c>
      <c r="B358" s="3">
        <f t="shared" si="21"/>
        <v>2017</v>
      </c>
      <c r="C358" s="3">
        <f t="shared" si="22"/>
        <v>10</v>
      </c>
      <c r="D358" s="3">
        <f t="shared" si="23"/>
        <v>22</v>
      </c>
      <c r="E358" s="13">
        <v>26</v>
      </c>
      <c r="F358" s="13">
        <v>31.6</v>
      </c>
      <c r="G358" s="13">
        <v>30.4</v>
      </c>
      <c r="H358" s="34">
        <v>28.5</v>
      </c>
      <c r="I358" s="39">
        <v>32.6</v>
      </c>
      <c r="J358" s="39">
        <v>25.5</v>
      </c>
      <c r="K358" s="86" t="s">
        <v>9</v>
      </c>
      <c r="L358" s="40">
        <v>100</v>
      </c>
      <c r="M358" s="5"/>
      <c r="N358" s="10">
        <v>1010.5750000000002</v>
      </c>
      <c r="O358" s="11">
        <v>70.543576398239651</v>
      </c>
      <c r="P358" s="11">
        <v>55.61106399796968</v>
      </c>
      <c r="Q358" s="11">
        <v>65.505481350494335</v>
      </c>
      <c r="R358" s="8">
        <v>65.550924536235826</v>
      </c>
      <c r="S358" s="20">
        <v>4.708333333333333</v>
      </c>
      <c r="T358" s="6">
        <v>180</v>
      </c>
      <c r="U358" s="20">
        <v>9</v>
      </c>
      <c r="V358" s="43">
        <v>0</v>
      </c>
    </row>
    <row r="359" spans="1:22" s="53" customFormat="1" x14ac:dyDescent="0.35">
      <c r="A359" s="2">
        <v>43031</v>
      </c>
      <c r="B359" s="3">
        <f t="shared" si="21"/>
        <v>2017</v>
      </c>
      <c r="C359" s="3">
        <f t="shared" si="22"/>
        <v>10</v>
      </c>
      <c r="D359" s="3">
        <f t="shared" si="23"/>
        <v>23</v>
      </c>
      <c r="E359" s="13">
        <v>26.2</v>
      </c>
      <c r="F359" s="13">
        <v>32.799999999999997</v>
      </c>
      <c r="G359" s="13">
        <v>30.3</v>
      </c>
      <c r="H359" s="34">
        <v>28.874999999999996</v>
      </c>
      <c r="I359" s="39">
        <v>33</v>
      </c>
      <c r="J359" s="39">
        <v>24.2</v>
      </c>
      <c r="K359" s="86">
        <v>1.9</v>
      </c>
      <c r="L359" s="40">
        <v>80</v>
      </c>
      <c r="M359" s="5"/>
      <c r="N359" s="10">
        <v>1011.1999999999999</v>
      </c>
      <c r="O359" s="11">
        <v>75.048907486860202</v>
      </c>
      <c r="P359" s="11">
        <v>53.298179704051542</v>
      </c>
      <c r="Q359" s="11">
        <v>66.063112278461801</v>
      </c>
      <c r="R359" s="8">
        <v>67.364776739058442</v>
      </c>
      <c r="S359" s="20">
        <v>5.291666666666667</v>
      </c>
      <c r="T359" s="6">
        <v>350</v>
      </c>
      <c r="U359" s="20">
        <v>11</v>
      </c>
      <c r="V359" s="43">
        <v>0</v>
      </c>
    </row>
    <row r="360" spans="1:22" s="53" customFormat="1" x14ac:dyDescent="0.35">
      <c r="A360" s="2">
        <v>43032</v>
      </c>
      <c r="B360" s="3">
        <f t="shared" si="21"/>
        <v>2017</v>
      </c>
      <c r="C360" s="3">
        <f t="shared" si="22"/>
        <v>10</v>
      </c>
      <c r="D360" s="3">
        <f t="shared" si="23"/>
        <v>24</v>
      </c>
      <c r="E360" s="13">
        <v>24.6</v>
      </c>
      <c r="F360" s="13">
        <v>31</v>
      </c>
      <c r="G360" s="13">
        <v>31</v>
      </c>
      <c r="H360" s="34">
        <v>27.8</v>
      </c>
      <c r="I360" s="39">
        <v>32.6</v>
      </c>
      <c r="J360" s="39">
        <v>24</v>
      </c>
      <c r="K360" s="86" t="s">
        <v>9</v>
      </c>
      <c r="L360" s="40">
        <v>6.25</v>
      </c>
      <c r="M360" s="5"/>
      <c r="N360" s="10">
        <v>1011.9041666666666</v>
      </c>
      <c r="O360" s="11">
        <v>85.057708398046941</v>
      </c>
      <c r="P360" s="11">
        <v>51.614962995234833</v>
      </c>
      <c r="Q360" s="11">
        <v>57.432788755886911</v>
      </c>
      <c r="R360" s="8">
        <v>69.790792136803901</v>
      </c>
      <c r="S360" s="20" t="e">
        <v>#N/A</v>
      </c>
      <c r="T360" s="6">
        <v>200</v>
      </c>
      <c r="U360" s="20" t="e">
        <v>#N/A</v>
      </c>
      <c r="V360" s="43">
        <v>0</v>
      </c>
    </row>
    <row r="361" spans="1:22" s="53" customFormat="1" x14ac:dyDescent="0.35">
      <c r="A361" s="2">
        <v>43033</v>
      </c>
      <c r="B361" s="3">
        <f t="shared" si="21"/>
        <v>2017</v>
      </c>
      <c r="C361" s="3">
        <f t="shared" si="22"/>
        <v>10</v>
      </c>
      <c r="D361" s="3">
        <f t="shared" si="23"/>
        <v>25</v>
      </c>
      <c r="E361" s="13">
        <v>25</v>
      </c>
      <c r="F361" s="13">
        <v>31</v>
      </c>
      <c r="G361" s="13">
        <v>29.8</v>
      </c>
      <c r="H361" s="34">
        <v>27.7</v>
      </c>
      <c r="I361" s="39">
        <v>32</v>
      </c>
      <c r="J361" s="39">
        <v>25</v>
      </c>
      <c r="K361" s="86" t="s">
        <v>9</v>
      </c>
      <c r="L361" s="40">
        <v>100</v>
      </c>
      <c r="M361" s="5"/>
      <c r="N361" s="10">
        <v>1011.5416666666671</v>
      </c>
      <c r="O361" s="11">
        <v>82.040074986779672</v>
      </c>
      <c r="P361" s="11">
        <v>63.426399789542799</v>
      </c>
      <c r="Q361" s="11">
        <v>67.639823963027865</v>
      </c>
      <c r="R361" s="8">
        <v>73.786593431532509</v>
      </c>
      <c r="S361" s="20">
        <v>5.1904761904761907</v>
      </c>
      <c r="T361" s="6">
        <v>340</v>
      </c>
      <c r="U361" s="20">
        <v>13</v>
      </c>
      <c r="V361" s="43">
        <v>0</v>
      </c>
    </row>
    <row r="362" spans="1:22" s="53" customFormat="1" x14ac:dyDescent="0.35">
      <c r="A362" s="2">
        <v>43034</v>
      </c>
      <c r="B362" s="3">
        <f t="shared" si="21"/>
        <v>2017</v>
      </c>
      <c r="C362" s="3">
        <f t="shared" si="22"/>
        <v>10</v>
      </c>
      <c r="D362" s="3">
        <f t="shared" si="23"/>
        <v>26</v>
      </c>
      <c r="E362" s="13">
        <v>26.4</v>
      </c>
      <c r="F362" s="13">
        <v>31.6</v>
      </c>
      <c r="G362" s="13">
        <v>30.2</v>
      </c>
      <c r="H362" s="34">
        <v>28.650000000000002</v>
      </c>
      <c r="I362" s="39">
        <v>32.299999999999997</v>
      </c>
      <c r="J362" s="39">
        <v>26.4</v>
      </c>
      <c r="K362" s="86" t="s">
        <v>9</v>
      </c>
      <c r="L362" s="40">
        <v>100</v>
      </c>
      <c r="M362" s="5"/>
      <c r="N362" s="10">
        <v>1010.7625000000003</v>
      </c>
      <c r="O362" s="11">
        <v>82.607038280256205</v>
      </c>
      <c r="P362" s="11">
        <v>62.060967993629369</v>
      </c>
      <c r="Q362" s="11">
        <v>65.36556420096403</v>
      </c>
      <c r="R362" s="8">
        <v>73.160152188776451</v>
      </c>
      <c r="S362" s="20">
        <v>4.708333333333333</v>
      </c>
      <c r="T362" s="6">
        <v>220</v>
      </c>
      <c r="U362" s="20">
        <v>12</v>
      </c>
      <c r="V362" s="12">
        <v>0</v>
      </c>
    </row>
    <row r="363" spans="1:22" s="53" customFormat="1" x14ac:dyDescent="0.35">
      <c r="A363" s="2">
        <v>43035</v>
      </c>
      <c r="B363" s="3">
        <f t="shared" si="21"/>
        <v>2017</v>
      </c>
      <c r="C363" s="3">
        <f t="shared" si="22"/>
        <v>10</v>
      </c>
      <c r="D363" s="3">
        <f t="shared" si="23"/>
        <v>27</v>
      </c>
      <c r="E363" s="13">
        <v>26.8</v>
      </c>
      <c r="F363" s="13">
        <v>32.4</v>
      </c>
      <c r="G363" s="13">
        <v>29.4</v>
      </c>
      <c r="H363" s="34">
        <v>28.85</v>
      </c>
      <c r="I363" s="39">
        <v>33.4</v>
      </c>
      <c r="J363" s="39">
        <v>26</v>
      </c>
      <c r="K363" s="86" t="s">
        <v>9</v>
      </c>
      <c r="L363" s="40">
        <v>100</v>
      </c>
      <c r="M363" s="5"/>
      <c r="N363" s="10">
        <v>1009.3791666666666</v>
      </c>
      <c r="O363" s="11">
        <v>78.304507276887847</v>
      </c>
      <c r="P363" s="11">
        <v>60.895021320859279</v>
      </c>
      <c r="Q363" s="11">
        <v>67.386501458425613</v>
      </c>
      <c r="R363" s="8">
        <v>71.222634333265148</v>
      </c>
      <c r="S363" s="20">
        <v>5.9047619047619051</v>
      </c>
      <c r="T363" s="6">
        <v>200</v>
      </c>
      <c r="U363" s="20">
        <v>13</v>
      </c>
      <c r="V363" s="12">
        <v>0</v>
      </c>
    </row>
    <row r="364" spans="1:22" s="53" customFormat="1" x14ac:dyDescent="0.35">
      <c r="A364" s="2">
        <v>43036</v>
      </c>
      <c r="B364" s="3">
        <f t="shared" si="21"/>
        <v>2017</v>
      </c>
      <c r="C364" s="3">
        <f t="shared" si="22"/>
        <v>10</v>
      </c>
      <c r="D364" s="3">
        <f t="shared" si="23"/>
        <v>28</v>
      </c>
      <c r="E364" s="13">
        <v>26.8</v>
      </c>
      <c r="F364" s="13">
        <v>32.5</v>
      </c>
      <c r="G364" s="13">
        <v>30</v>
      </c>
      <c r="H364" s="34">
        <v>29.024999999999999</v>
      </c>
      <c r="I364" s="39">
        <v>32.799999999999997</v>
      </c>
      <c r="J364" s="39">
        <v>26.2</v>
      </c>
      <c r="K364" s="86" t="s">
        <v>9</v>
      </c>
      <c r="L364" s="40">
        <v>100</v>
      </c>
      <c r="M364" s="5"/>
      <c r="N364" s="10">
        <v>1009.7874999999999</v>
      </c>
      <c r="O364" s="11">
        <v>81.273187155932519</v>
      </c>
      <c r="P364" s="11">
        <v>62.715439577407786</v>
      </c>
      <c r="Q364" s="11">
        <v>72.998216689712351</v>
      </c>
      <c r="R364" s="8">
        <v>74.565007644746288</v>
      </c>
      <c r="S364" s="20">
        <v>5.7826086956521738</v>
      </c>
      <c r="T364" s="6">
        <v>160</v>
      </c>
      <c r="U364" s="20">
        <v>11</v>
      </c>
      <c r="V364" s="12">
        <v>0</v>
      </c>
    </row>
    <row r="365" spans="1:22" s="53" customFormat="1" x14ac:dyDescent="0.35">
      <c r="A365" s="2">
        <v>43037</v>
      </c>
      <c r="B365" s="3">
        <f t="shared" si="21"/>
        <v>2017</v>
      </c>
      <c r="C365" s="3">
        <f t="shared" si="22"/>
        <v>10</v>
      </c>
      <c r="D365" s="3">
        <f t="shared" si="23"/>
        <v>29</v>
      </c>
      <c r="E365" s="13">
        <v>27</v>
      </c>
      <c r="F365" s="13">
        <v>32.200000000000003</v>
      </c>
      <c r="G365" s="13">
        <v>30.6</v>
      </c>
      <c r="H365" s="34">
        <v>29.200000000000003</v>
      </c>
      <c r="I365" s="39">
        <v>32.799999999999997</v>
      </c>
      <c r="J365" s="39">
        <v>25.8</v>
      </c>
      <c r="K365" s="86" t="s">
        <v>9</v>
      </c>
      <c r="L365" s="40">
        <v>100</v>
      </c>
      <c r="M365" s="5"/>
      <c r="N365" s="10">
        <v>1009.8916666666669</v>
      </c>
      <c r="O365" s="11">
        <v>76.940932276616238</v>
      </c>
      <c r="P365" s="11">
        <v>63.092867237383096</v>
      </c>
      <c r="Q365" s="11">
        <v>63.16306020794228</v>
      </c>
      <c r="R365" s="8">
        <v>70.034447999639468</v>
      </c>
      <c r="S365" s="20">
        <v>5.1363636363636367</v>
      </c>
      <c r="T365" s="6">
        <v>210</v>
      </c>
      <c r="U365" s="20">
        <v>15</v>
      </c>
      <c r="V365" s="12">
        <v>0</v>
      </c>
    </row>
    <row r="366" spans="1:22" s="53" customFormat="1" x14ac:dyDescent="0.35">
      <c r="A366" s="2">
        <v>43038</v>
      </c>
      <c r="B366" s="3">
        <f t="shared" si="21"/>
        <v>2017</v>
      </c>
      <c r="C366" s="3">
        <f t="shared" si="22"/>
        <v>10</v>
      </c>
      <c r="D366" s="3">
        <f t="shared" si="23"/>
        <v>30</v>
      </c>
      <c r="E366" s="13">
        <v>26.2</v>
      </c>
      <c r="F366" s="13">
        <v>33.4</v>
      </c>
      <c r="G366" s="13">
        <v>30.6</v>
      </c>
      <c r="H366" s="34">
        <v>29.1</v>
      </c>
      <c r="I366" s="39">
        <v>33.6</v>
      </c>
      <c r="J366" s="39">
        <v>25.8</v>
      </c>
      <c r="K366" s="86" t="s">
        <v>9</v>
      </c>
      <c r="L366" s="40">
        <v>100</v>
      </c>
      <c r="M366" s="5"/>
      <c r="N366" s="10">
        <v>1009.1333333333332</v>
      </c>
      <c r="O366" s="11">
        <v>76.529314760541808</v>
      </c>
      <c r="P366" s="11">
        <v>45.407507597551778</v>
      </c>
      <c r="Q366" s="11">
        <v>64.415375096243537</v>
      </c>
      <c r="R366" s="8">
        <v>65.720378053719742</v>
      </c>
      <c r="S366" s="20">
        <v>4.7826086956521738</v>
      </c>
      <c r="T366" s="6">
        <v>190</v>
      </c>
      <c r="U366" s="20">
        <v>9</v>
      </c>
      <c r="V366" s="12">
        <v>0</v>
      </c>
    </row>
    <row r="367" spans="1:22" s="53" customFormat="1" x14ac:dyDescent="0.35">
      <c r="A367" s="2">
        <v>43039</v>
      </c>
      <c r="B367" s="3">
        <f t="shared" si="21"/>
        <v>2017</v>
      </c>
      <c r="C367" s="3">
        <f t="shared" si="22"/>
        <v>10</v>
      </c>
      <c r="D367" s="3">
        <f t="shared" si="23"/>
        <v>31</v>
      </c>
      <c r="E367" s="13">
        <v>25.8</v>
      </c>
      <c r="F367" s="13">
        <v>31.6</v>
      </c>
      <c r="G367" s="13">
        <v>30.5</v>
      </c>
      <c r="H367" s="34">
        <v>28.425000000000001</v>
      </c>
      <c r="I367" s="39">
        <v>32.6</v>
      </c>
      <c r="J367" s="39" t="e">
        <v>#REF!</v>
      </c>
      <c r="K367" s="86" t="s">
        <v>9</v>
      </c>
      <c r="L367" s="40">
        <v>0</v>
      </c>
      <c r="M367" s="5"/>
      <c r="N367" s="10">
        <v>812.33478260869583</v>
      </c>
      <c r="O367" s="11">
        <v>73.348693268630612</v>
      </c>
      <c r="P367" s="11">
        <v>57.948871320535389</v>
      </c>
      <c r="Q367" s="11">
        <v>61.265198095868065</v>
      </c>
      <c r="R367" s="8">
        <v>66.477863988416175</v>
      </c>
      <c r="S367" s="20">
        <v>5.4347826086956523</v>
      </c>
      <c r="T367" s="6">
        <v>190</v>
      </c>
      <c r="U367" s="20">
        <v>10</v>
      </c>
      <c r="V367" s="12">
        <v>0</v>
      </c>
    </row>
    <row r="368" spans="1:22" s="53" customFormat="1" x14ac:dyDescent="0.35">
      <c r="A368" s="2">
        <v>43040</v>
      </c>
      <c r="B368" s="3">
        <f t="shared" si="21"/>
        <v>2017</v>
      </c>
      <c r="C368" s="3">
        <f t="shared" si="22"/>
        <v>11</v>
      </c>
      <c r="D368" s="3">
        <f t="shared" si="23"/>
        <v>1</v>
      </c>
      <c r="E368" s="13">
        <v>27.3</v>
      </c>
      <c r="F368" s="13">
        <v>32.5</v>
      </c>
      <c r="G368" s="13">
        <v>29.8</v>
      </c>
      <c r="H368" s="34">
        <v>29.224999999999998</v>
      </c>
      <c r="I368" s="13">
        <v>33.6</v>
      </c>
      <c r="J368" s="13">
        <v>26.3</v>
      </c>
      <c r="K368" s="79" t="s">
        <v>9</v>
      </c>
      <c r="L368" s="20">
        <v>100</v>
      </c>
      <c r="M368" s="5"/>
      <c r="N368" s="13">
        <v>1008.2125000000001</v>
      </c>
      <c r="O368" s="8">
        <v>100</v>
      </c>
      <c r="P368" s="8">
        <v>56.966811952555737</v>
      </c>
      <c r="Q368" s="8">
        <v>70.263847051030808</v>
      </c>
      <c r="R368" s="57">
        <v>81.807664750896635</v>
      </c>
      <c r="S368" s="20">
        <v>4.9285714285714288</v>
      </c>
      <c r="T368" s="6">
        <v>340</v>
      </c>
      <c r="U368" s="20">
        <v>8</v>
      </c>
      <c r="V368" s="43">
        <v>0</v>
      </c>
    </row>
    <row r="369" spans="1:22" s="53" customFormat="1" x14ac:dyDescent="0.35">
      <c r="A369" s="2">
        <v>43041</v>
      </c>
      <c r="B369" s="3">
        <f t="shared" si="21"/>
        <v>2017</v>
      </c>
      <c r="C369" s="3">
        <f t="shared" si="22"/>
        <v>11</v>
      </c>
      <c r="D369" s="3">
        <f t="shared" si="23"/>
        <v>2</v>
      </c>
      <c r="E369" s="13">
        <v>26.5</v>
      </c>
      <c r="F369" s="13">
        <v>32.799999999999997</v>
      </c>
      <c r="G369" s="13">
        <v>30.6</v>
      </c>
      <c r="H369" s="34">
        <v>29.1</v>
      </c>
      <c r="I369" s="13">
        <v>32.799999999999997</v>
      </c>
      <c r="J369" s="13">
        <v>26.5</v>
      </c>
      <c r="K369" s="79" t="s">
        <v>9</v>
      </c>
      <c r="L369" s="20">
        <v>75</v>
      </c>
      <c r="M369" s="5"/>
      <c r="N369" s="13">
        <v>1007.4041666666666</v>
      </c>
      <c r="O369" s="8">
        <v>75.962586086188765</v>
      </c>
      <c r="P369" s="8">
        <v>53.326547864638876</v>
      </c>
      <c r="Q369" s="8">
        <v>65.67290230704721</v>
      </c>
      <c r="R369" s="57">
        <v>67.731155586015902</v>
      </c>
      <c r="S369" s="8">
        <v>4.666666666666667</v>
      </c>
      <c r="T369" s="6">
        <v>200</v>
      </c>
      <c r="U369" s="20">
        <v>10</v>
      </c>
      <c r="V369" s="43">
        <v>0</v>
      </c>
    </row>
    <row r="370" spans="1:22" s="53" customFormat="1" x14ac:dyDescent="0.35">
      <c r="A370" s="2">
        <v>43042</v>
      </c>
      <c r="B370" s="3">
        <f t="shared" si="21"/>
        <v>2017</v>
      </c>
      <c r="C370" s="3">
        <f t="shared" si="22"/>
        <v>11</v>
      </c>
      <c r="D370" s="3">
        <f t="shared" si="23"/>
        <v>3</v>
      </c>
      <c r="E370" s="13">
        <v>27</v>
      </c>
      <c r="F370" s="13">
        <v>33.200000000000003</v>
      </c>
      <c r="G370" s="13">
        <v>30.7</v>
      </c>
      <c r="H370" s="34">
        <v>29.475000000000001</v>
      </c>
      <c r="I370" s="13">
        <v>33.4</v>
      </c>
      <c r="J370" s="13">
        <v>26.8</v>
      </c>
      <c r="K370" s="79" t="s">
        <v>9</v>
      </c>
      <c r="L370" s="20">
        <v>66.25</v>
      </c>
      <c r="M370" s="5"/>
      <c r="N370" s="13">
        <v>1006.5041666666667</v>
      </c>
      <c r="O370" s="8">
        <v>76.962324623610954</v>
      </c>
      <c r="P370" s="8">
        <v>54.777970210635885</v>
      </c>
      <c r="Q370" s="8">
        <v>67.001529921450853</v>
      </c>
      <c r="R370" s="57">
        <v>68.926037344827165</v>
      </c>
      <c r="S370" s="8">
        <v>5</v>
      </c>
      <c r="T370" s="6">
        <v>190</v>
      </c>
      <c r="U370" s="20">
        <v>9</v>
      </c>
      <c r="V370" s="43">
        <v>0</v>
      </c>
    </row>
    <row r="371" spans="1:22" s="53" customFormat="1" x14ac:dyDescent="0.35">
      <c r="A371" s="2">
        <v>43043</v>
      </c>
      <c r="B371" s="3">
        <f t="shared" si="21"/>
        <v>2017</v>
      </c>
      <c r="C371" s="3">
        <f t="shared" si="22"/>
        <v>11</v>
      </c>
      <c r="D371" s="3">
        <f t="shared" si="23"/>
        <v>4</v>
      </c>
      <c r="E371" s="13">
        <v>27</v>
      </c>
      <c r="F371" s="13">
        <v>32.6</v>
      </c>
      <c r="G371" s="13">
        <v>29</v>
      </c>
      <c r="H371" s="34">
        <v>28.9</v>
      </c>
      <c r="I371" s="13">
        <v>33.6</v>
      </c>
      <c r="J371" s="13">
        <v>24.8</v>
      </c>
      <c r="K371" s="79">
        <v>5.5</v>
      </c>
      <c r="L371" s="20">
        <v>100</v>
      </c>
      <c r="M371" s="5"/>
      <c r="N371" s="13">
        <v>1007.4500000000002</v>
      </c>
      <c r="O371" s="8">
        <v>76.964330156141713</v>
      </c>
      <c r="P371" s="8">
        <v>57.6253019939588</v>
      </c>
      <c r="Q371" s="8">
        <v>72.455175679146706</v>
      </c>
      <c r="R371" s="57">
        <v>71.002284496347229</v>
      </c>
      <c r="S371" s="8">
        <v>5.291666666666667</v>
      </c>
      <c r="T371" s="6">
        <v>70</v>
      </c>
      <c r="U371" s="20">
        <v>13</v>
      </c>
      <c r="V371" s="43">
        <v>0</v>
      </c>
    </row>
    <row r="372" spans="1:22" s="53" customFormat="1" x14ac:dyDescent="0.35">
      <c r="A372" s="2">
        <v>43044</v>
      </c>
      <c r="B372" s="3">
        <f t="shared" si="21"/>
        <v>2017</v>
      </c>
      <c r="C372" s="3">
        <f t="shared" si="22"/>
        <v>11</v>
      </c>
      <c r="D372" s="3">
        <f t="shared" si="23"/>
        <v>5</v>
      </c>
      <c r="E372" s="13">
        <v>25</v>
      </c>
      <c r="F372" s="13">
        <v>30</v>
      </c>
      <c r="G372" s="13">
        <v>29</v>
      </c>
      <c r="H372" s="34">
        <v>27.25</v>
      </c>
      <c r="I372" s="13">
        <v>32.799999999999997</v>
      </c>
      <c r="J372" s="13">
        <v>25</v>
      </c>
      <c r="K372" s="79">
        <v>4.4000000000000004</v>
      </c>
      <c r="L372" s="20">
        <v>62.5</v>
      </c>
      <c r="M372" s="5"/>
      <c r="N372" s="13">
        <v>1007.9374999999999</v>
      </c>
      <c r="O372" s="8">
        <v>94.965758647519039</v>
      </c>
      <c r="P372" s="8">
        <v>75.664671735284898</v>
      </c>
      <c r="Q372" s="8">
        <v>72.446131298814691</v>
      </c>
      <c r="R372" s="57">
        <v>84.51058008228442</v>
      </c>
      <c r="S372" s="8">
        <v>6.416666666666667</v>
      </c>
      <c r="T372" s="6">
        <v>180</v>
      </c>
      <c r="U372" s="20">
        <v>19</v>
      </c>
      <c r="V372" s="43">
        <v>0</v>
      </c>
    </row>
    <row r="373" spans="1:22" s="53" customFormat="1" x14ac:dyDescent="0.35">
      <c r="A373" s="2">
        <v>43045</v>
      </c>
      <c r="B373" s="3">
        <f t="shared" si="21"/>
        <v>2017</v>
      </c>
      <c r="C373" s="3">
        <f t="shared" si="22"/>
        <v>11</v>
      </c>
      <c r="D373" s="3">
        <f t="shared" si="23"/>
        <v>6</v>
      </c>
      <c r="E373" s="13">
        <v>26.2</v>
      </c>
      <c r="F373" s="13">
        <v>32</v>
      </c>
      <c r="G373" s="13">
        <v>29.8</v>
      </c>
      <c r="H373" s="34">
        <v>28.55</v>
      </c>
      <c r="I373" s="13">
        <v>32.4</v>
      </c>
      <c r="J373" s="13">
        <v>26.2</v>
      </c>
      <c r="K373" s="79" t="s">
        <v>9</v>
      </c>
      <c r="L373" s="20">
        <v>75</v>
      </c>
      <c r="M373" s="5"/>
      <c r="N373" s="13">
        <v>1007.8541666666666</v>
      </c>
      <c r="O373" s="8">
        <v>84.084060057494142</v>
      </c>
      <c r="P373" s="8">
        <v>58.279966540648523</v>
      </c>
      <c r="Q373" s="8">
        <v>74.232095636789325</v>
      </c>
      <c r="R373" s="57">
        <v>75.170045573106535</v>
      </c>
      <c r="S373" s="8">
        <v>5.5652173913043477</v>
      </c>
      <c r="T373" s="6">
        <v>180</v>
      </c>
      <c r="U373" s="20">
        <v>11</v>
      </c>
      <c r="V373" s="43">
        <v>0</v>
      </c>
    </row>
    <row r="374" spans="1:22" s="53" customFormat="1" x14ac:dyDescent="0.35">
      <c r="A374" s="2">
        <v>43046</v>
      </c>
      <c r="B374" s="3">
        <f t="shared" si="21"/>
        <v>2017</v>
      </c>
      <c r="C374" s="3">
        <f t="shared" si="22"/>
        <v>11</v>
      </c>
      <c r="D374" s="3">
        <f t="shared" si="23"/>
        <v>7</v>
      </c>
      <c r="E374" s="13">
        <v>27.1</v>
      </c>
      <c r="F374" s="13">
        <v>31</v>
      </c>
      <c r="G374" s="13">
        <v>28.3</v>
      </c>
      <c r="H374" s="34">
        <v>28.375</v>
      </c>
      <c r="I374" s="13">
        <v>32</v>
      </c>
      <c r="J374" s="13">
        <v>25.5</v>
      </c>
      <c r="K374" s="79">
        <v>0</v>
      </c>
      <c r="L374" s="20">
        <v>15</v>
      </c>
      <c r="M374" s="5"/>
      <c r="N374" s="13">
        <v>1008.1374999999997</v>
      </c>
      <c r="O374" s="8">
        <v>84.391906719422963</v>
      </c>
      <c r="P374" s="8">
        <v>69.678907051997712</v>
      </c>
      <c r="Q374" s="8">
        <v>76.898962288332811</v>
      </c>
      <c r="R374" s="57">
        <v>78.840420694794119</v>
      </c>
      <c r="S374" s="8">
        <v>5.4545454545454541</v>
      </c>
      <c r="T374" s="6">
        <v>280</v>
      </c>
      <c r="U374" s="20">
        <v>12</v>
      </c>
      <c r="V374" s="43">
        <v>0</v>
      </c>
    </row>
    <row r="375" spans="1:22" s="53" customFormat="1" x14ac:dyDescent="0.35">
      <c r="A375" s="2">
        <v>43047</v>
      </c>
      <c r="B375" s="3">
        <f t="shared" si="21"/>
        <v>2017</v>
      </c>
      <c r="C375" s="3">
        <f t="shared" si="22"/>
        <v>11</v>
      </c>
      <c r="D375" s="3">
        <f t="shared" si="23"/>
        <v>8</v>
      </c>
      <c r="E375" s="13">
        <v>26</v>
      </c>
      <c r="F375" s="13">
        <v>32.4</v>
      </c>
      <c r="G375" s="13">
        <v>29.8</v>
      </c>
      <c r="H375" s="34">
        <v>28.55</v>
      </c>
      <c r="I375" s="13">
        <v>33.4</v>
      </c>
      <c r="J375" s="13">
        <v>25.8</v>
      </c>
      <c r="K375" s="79" t="s">
        <v>9</v>
      </c>
      <c r="L375" s="20">
        <v>51.249999999999993</v>
      </c>
      <c r="M375" s="5"/>
      <c r="N375" s="13">
        <v>1007.4708333333334</v>
      </c>
      <c r="O375" s="8">
        <v>87.113012924377486</v>
      </c>
      <c r="P375" s="8">
        <v>58.601103965521276</v>
      </c>
      <c r="Q375" s="8">
        <v>73.569136688080533</v>
      </c>
      <c r="R375" s="57">
        <v>76.599066625589188</v>
      </c>
      <c r="S375" s="8">
        <v>4.1500000000000004</v>
      </c>
      <c r="T375" s="6">
        <v>90</v>
      </c>
      <c r="U375" s="20">
        <v>12</v>
      </c>
      <c r="V375" s="43">
        <v>0</v>
      </c>
    </row>
    <row r="376" spans="1:22" s="53" customFormat="1" x14ac:dyDescent="0.35">
      <c r="A376" s="2">
        <v>43048</v>
      </c>
      <c r="B376" s="3">
        <f t="shared" si="21"/>
        <v>2017</v>
      </c>
      <c r="C376" s="3">
        <f t="shared" si="22"/>
        <v>11</v>
      </c>
      <c r="D376" s="3">
        <f t="shared" si="23"/>
        <v>9</v>
      </c>
      <c r="E376" s="13">
        <v>26.6</v>
      </c>
      <c r="F376" s="13">
        <v>32.200000000000003</v>
      </c>
      <c r="G376" s="13">
        <v>30.4</v>
      </c>
      <c r="H376" s="34">
        <v>28.950000000000003</v>
      </c>
      <c r="I376" s="13">
        <v>33.200000000000003</v>
      </c>
      <c r="J376" s="13">
        <v>26</v>
      </c>
      <c r="K376" s="79" t="s">
        <v>9</v>
      </c>
      <c r="L376" s="20">
        <v>100</v>
      </c>
      <c r="M376" s="5"/>
      <c r="N376" s="13">
        <v>1007.9958333333334</v>
      </c>
      <c r="O376" s="8">
        <v>76.756825303949057</v>
      </c>
      <c r="P376" s="8">
        <v>61.931905920260114</v>
      </c>
      <c r="Q376" s="8">
        <v>68.052380531399308</v>
      </c>
      <c r="R376" s="57">
        <v>70.874484264889389</v>
      </c>
      <c r="S376" s="8">
        <v>4.041666666666667</v>
      </c>
      <c r="T376" s="6" t="e">
        <v>#N/A</v>
      </c>
      <c r="U376" s="20">
        <v>7</v>
      </c>
      <c r="V376" s="43">
        <v>0</v>
      </c>
    </row>
    <row r="377" spans="1:22" s="53" customFormat="1" x14ac:dyDescent="0.35">
      <c r="A377" s="2">
        <v>43049</v>
      </c>
      <c r="B377" s="3">
        <f t="shared" si="21"/>
        <v>2017</v>
      </c>
      <c r="C377" s="3">
        <f t="shared" si="22"/>
        <v>11</v>
      </c>
      <c r="D377" s="3">
        <f t="shared" si="23"/>
        <v>10</v>
      </c>
      <c r="E377" s="13">
        <v>26.4</v>
      </c>
      <c r="F377" s="13">
        <v>32.6</v>
      </c>
      <c r="G377" s="13">
        <v>29.6</v>
      </c>
      <c r="H377" s="34">
        <v>28.75</v>
      </c>
      <c r="I377" s="13">
        <v>34</v>
      </c>
      <c r="J377" s="13">
        <v>23.8</v>
      </c>
      <c r="K377" s="79">
        <v>55.5</v>
      </c>
      <c r="L377" s="22">
        <v>100</v>
      </c>
      <c r="M377" s="5"/>
      <c r="N377" s="13">
        <v>1008.6791666666668</v>
      </c>
      <c r="O377" s="8">
        <v>72.272441870494603</v>
      </c>
      <c r="P377" s="8">
        <v>58.749921750918013</v>
      </c>
      <c r="Q377" s="8">
        <v>80.968601694217028</v>
      </c>
      <c r="R377" s="57">
        <v>71.065851796531064</v>
      </c>
      <c r="S377" s="8" t="e">
        <v>#N/A</v>
      </c>
      <c r="T377" s="6">
        <v>170</v>
      </c>
      <c r="U377" s="20" t="e">
        <v>#N/A</v>
      </c>
      <c r="V377" s="43">
        <v>0</v>
      </c>
    </row>
    <row r="378" spans="1:22" s="53" customFormat="1" x14ac:dyDescent="0.35">
      <c r="A378" s="2">
        <v>43050</v>
      </c>
      <c r="B378" s="3">
        <f t="shared" ref="B378:B441" si="24">YEAR(A378)</f>
        <v>2017</v>
      </c>
      <c r="C378" s="3">
        <f t="shared" ref="C378:C441" si="25">MONTH(A378)</f>
        <v>11</v>
      </c>
      <c r="D378" s="3">
        <f t="shared" ref="D378:D441" si="26">DAY(A378)</f>
        <v>11</v>
      </c>
      <c r="E378" s="13">
        <v>25.8</v>
      </c>
      <c r="F378" s="13">
        <v>29.2</v>
      </c>
      <c r="G378" s="13">
        <v>30.1</v>
      </c>
      <c r="H378" s="34">
        <v>27.725000000000001</v>
      </c>
      <c r="I378" s="13">
        <v>32.4</v>
      </c>
      <c r="J378" s="13">
        <v>25.8</v>
      </c>
      <c r="K378" s="79" t="s">
        <v>9</v>
      </c>
      <c r="L378" s="20">
        <v>63.749999999999993</v>
      </c>
      <c r="M378" s="5"/>
      <c r="N378" s="13">
        <v>1008.4375000000001</v>
      </c>
      <c r="O378" s="8">
        <v>90.218733949097441</v>
      </c>
      <c r="P378" s="8">
        <v>71.20717137422308</v>
      </c>
      <c r="Q378" s="8">
        <v>71.091501252167916</v>
      </c>
      <c r="R378" s="57">
        <v>80.684035131146473</v>
      </c>
      <c r="S378" s="8" t="e">
        <v>#N/A</v>
      </c>
      <c r="T378" s="6">
        <v>260</v>
      </c>
      <c r="U378" s="20" t="e">
        <v>#N/A</v>
      </c>
      <c r="V378" s="43">
        <v>0</v>
      </c>
    </row>
    <row r="379" spans="1:22" s="53" customFormat="1" x14ac:dyDescent="0.35">
      <c r="A379" s="2">
        <v>43051</v>
      </c>
      <c r="B379" s="3">
        <f t="shared" si="24"/>
        <v>2017</v>
      </c>
      <c r="C379" s="3">
        <f t="shared" si="25"/>
        <v>11</v>
      </c>
      <c r="D379" s="3">
        <f t="shared" si="26"/>
        <v>12</v>
      </c>
      <c r="E379" s="13">
        <v>26.3</v>
      </c>
      <c r="F379" s="13">
        <v>32.4</v>
      </c>
      <c r="G379" s="13">
        <v>29.6</v>
      </c>
      <c r="H379" s="34">
        <v>28.65</v>
      </c>
      <c r="I379" s="13">
        <v>32.4</v>
      </c>
      <c r="J379" s="13">
        <v>25.6</v>
      </c>
      <c r="K379" s="79" t="s">
        <v>9</v>
      </c>
      <c r="L379" s="22">
        <v>68.75</v>
      </c>
      <c r="M379" s="5"/>
      <c r="N379" s="13">
        <v>1007.7833333333332</v>
      </c>
      <c r="O379" s="8">
        <v>83.351837687456012</v>
      </c>
      <c r="P379" s="8">
        <v>63.25443986484418</v>
      </c>
      <c r="Q379" s="8">
        <v>74.12990518869546</v>
      </c>
      <c r="R379" s="57">
        <v>76.022005107112918</v>
      </c>
      <c r="S379" s="8">
        <v>5.0476190476190474</v>
      </c>
      <c r="T379" s="6">
        <v>190</v>
      </c>
      <c r="U379" s="20">
        <v>15</v>
      </c>
      <c r="V379" s="43">
        <v>0</v>
      </c>
    </row>
    <row r="380" spans="1:22" s="53" customFormat="1" x14ac:dyDescent="0.35">
      <c r="A380" s="2">
        <v>43052</v>
      </c>
      <c r="B380" s="3">
        <f t="shared" si="24"/>
        <v>2017</v>
      </c>
      <c r="C380" s="3">
        <f t="shared" si="25"/>
        <v>11</v>
      </c>
      <c r="D380" s="3">
        <f t="shared" si="26"/>
        <v>13</v>
      </c>
      <c r="E380" s="13">
        <v>26</v>
      </c>
      <c r="F380" s="13">
        <v>31.4</v>
      </c>
      <c r="G380" s="13">
        <v>23.8</v>
      </c>
      <c r="H380" s="34">
        <v>26.8</v>
      </c>
      <c r="I380" s="13">
        <v>32</v>
      </c>
      <c r="J380" s="13">
        <v>23.6</v>
      </c>
      <c r="K380" s="79">
        <v>21.8</v>
      </c>
      <c r="L380" s="20">
        <v>38.75</v>
      </c>
      <c r="M380" s="5"/>
      <c r="N380" s="13">
        <v>1008.4125000000003</v>
      </c>
      <c r="O380" s="8">
        <v>88.684059611588623</v>
      </c>
      <c r="P380" s="8">
        <v>64.968279491206204</v>
      </c>
      <c r="Q380" s="8">
        <v>98.261059184570669</v>
      </c>
      <c r="R380" s="57">
        <v>85.149364474738533</v>
      </c>
      <c r="S380" s="8" t="e">
        <v>#N/A</v>
      </c>
      <c r="T380" s="6">
        <v>210</v>
      </c>
      <c r="U380" s="20" t="e">
        <v>#N/A</v>
      </c>
      <c r="V380" s="43">
        <v>0</v>
      </c>
    </row>
    <row r="381" spans="1:22" s="53" customFormat="1" x14ac:dyDescent="0.35">
      <c r="A381" s="2">
        <v>43053</v>
      </c>
      <c r="B381" s="3">
        <f t="shared" si="24"/>
        <v>2017</v>
      </c>
      <c r="C381" s="3">
        <f t="shared" si="25"/>
        <v>11</v>
      </c>
      <c r="D381" s="3">
        <f t="shared" si="26"/>
        <v>14</v>
      </c>
      <c r="E381" s="13">
        <v>25</v>
      </c>
      <c r="F381" s="13">
        <v>29.4</v>
      </c>
      <c r="G381" s="13">
        <v>29.4</v>
      </c>
      <c r="H381" s="34">
        <v>27.200000000000003</v>
      </c>
      <c r="I381" s="13">
        <v>30.8</v>
      </c>
      <c r="J381" s="13">
        <v>25</v>
      </c>
      <c r="K381" s="79">
        <v>0.2</v>
      </c>
      <c r="L381" s="20">
        <v>68.75</v>
      </c>
      <c r="M381" s="5"/>
      <c r="N381" s="13">
        <v>1008.6625</v>
      </c>
      <c r="O381" s="8">
        <v>91.67104470687039</v>
      </c>
      <c r="P381" s="8">
        <v>74.007154055154032</v>
      </c>
      <c r="Q381" s="8">
        <v>74.016224659053037</v>
      </c>
      <c r="R381" s="57">
        <v>82.841367031986962</v>
      </c>
      <c r="S381" s="8" t="e">
        <v>#N/A</v>
      </c>
      <c r="T381" s="6">
        <v>230</v>
      </c>
      <c r="U381" s="37" t="e">
        <v>#N/A</v>
      </c>
      <c r="V381" s="58">
        <v>0</v>
      </c>
    </row>
    <row r="382" spans="1:22" s="53" customFormat="1" x14ac:dyDescent="0.35">
      <c r="A382" s="2">
        <v>43054</v>
      </c>
      <c r="B382" s="3">
        <f t="shared" si="24"/>
        <v>2017</v>
      </c>
      <c r="C382" s="3">
        <f t="shared" si="25"/>
        <v>11</v>
      </c>
      <c r="D382" s="3">
        <f t="shared" si="26"/>
        <v>15</v>
      </c>
      <c r="E382" s="13">
        <v>26</v>
      </c>
      <c r="F382" s="13">
        <v>23.4</v>
      </c>
      <c r="G382" s="13">
        <v>27</v>
      </c>
      <c r="H382" s="34">
        <v>25.6</v>
      </c>
      <c r="I382" s="13">
        <v>30</v>
      </c>
      <c r="J382" s="13">
        <v>23.1</v>
      </c>
      <c r="K382" s="83">
        <v>20.100000000000001</v>
      </c>
      <c r="L382" s="20">
        <v>0</v>
      </c>
      <c r="M382" s="5" t="s">
        <v>15</v>
      </c>
      <c r="N382" s="13">
        <v>1008.9708333333334</v>
      </c>
      <c r="O382" s="8">
        <v>96.706684066173011</v>
      </c>
      <c r="P382" s="8">
        <v>97.369575207869488</v>
      </c>
      <c r="Q382" s="8">
        <v>85.876023018281742</v>
      </c>
      <c r="R382" s="57">
        <v>94.164741589624313</v>
      </c>
      <c r="S382" s="8">
        <v>4.1904761904761907</v>
      </c>
      <c r="T382" s="6">
        <v>270</v>
      </c>
      <c r="U382" s="20">
        <v>10</v>
      </c>
      <c r="V382" s="43">
        <v>0</v>
      </c>
    </row>
    <row r="383" spans="1:22" s="53" customFormat="1" x14ac:dyDescent="0.35">
      <c r="A383" s="2">
        <v>43055</v>
      </c>
      <c r="B383" s="3">
        <f t="shared" si="24"/>
        <v>2017</v>
      </c>
      <c r="C383" s="3">
        <f t="shared" si="25"/>
        <v>11</v>
      </c>
      <c r="D383" s="3">
        <f t="shared" si="26"/>
        <v>16</v>
      </c>
      <c r="E383" s="13">
        <v>24.8</v>
      </c>
      <c r="F383" s="13">
        <v>29.2</v>
      </c>
      <c r="G383" s="13">
        <v>27.6</v>
      </c>
      <c r="H383" s="34">
        <v>26.6</v>
      </c>
      <c r="I383" s="13">
        <v>29.9</v>
      </c>
      <c r="J383" s="13">
        <v>23.3</v>
      </c>
      <c r="K383" s="79">
        <v>0</v>
      </c>
      <c r="L383" s="20">
        <v>10</v>
      </c>
      <c r="M383" s="5" t="s">
        <v>15</v>
      </c>
      <c r="N383" s="13">
        <v>1008.6749999999998</v>
      </c>
      <c r="O383" s="8">
        <v>94.940928602594838</v>
      </c>
      <c r="P383" s="8">
        <v>78.707238241317498</v>
      </c>
      <c r="Q383" s="8">
        <v>84.567291815044044</v>
      </c>
      <c r="R383" s="57">
        <v>88.289096815387794</v>
      </c>
      <c r="S383" s="8" t="e">
        <v>#N/A</v>
      </c>
      <c r="T383" s="6">
        <v>30</v>
      </c>
      <c r="U383" s="20" t="e">
        <v>#N/A</v>
      </c>
      <c r="V383" s="43">
        <v>0</v>
      </c>
    </row>
    <row r="384" spans="1:22" s="53" customFormat="1" x14ac:dyDescent="0.35">
      <c r="A384" s="2">
        <v>43056</v>
      </c>
      <c r="B384" s="3">
        <f t="shared" si="24"/>
        <v>2017</v>
      </c>
      <c r="C384" s="3">
        <f t="shared" si="25"/>
        <v>11</v>
      </c>
      <c r="D384" s="3">
        <f t="shared" si="26"/>
        <v>17</v>
      </c>
      <c r="E384" s="13">
        <v>24.8</v>
      </c>
      <c r="F384" s="13">
        <v>30.4</v>
      </c>
      <c r="G384" s="13">
        <v>29</v>
      </c>
      <c r="H384" s="34">
        <v>27.25</v>
      </c>
      <c r="I384" s="13">
        <v>31</v>
      </c>
      <c r="J384" s="13">
        <v>24.8</v>
      </c>
      <c r="K384" s="79">
        <v>20.9</v>
      </c>
      <c r="L384" s="20">
        <v>91.25</v>
      </c>
      <c r="M384" s="5"/>
      <c r="N384" s="13">
        <v>1008.0125000000002</v>
      </c>
      <c r="O384" s="8">
        <v>89.991591129074919</v>
      </c>
      <c r="P384" s="8">
        <v>68.043120491545764</v>
      </c>
      <c r="Q384" s="8">
        <v>75.175523677232803</v>
      </c>
      <c r="R384" s="57">
        <v>80.800456606732098</v>
      </c>
      <c r="S384" s="8">
        <v>4.5789473684210522</v>
      </c>
      <c r="T384" s="6">
        <v>220</v>
      </c>
      <c r="U384" s="20">
        <v>10</v>
      </c>
      <c r="V384" s="12">
        <v>0</v>
      </c>
    </row>
    <row r="385" spans="1:22" s="53" customFormat="1" x14ac:dyDescent="0.35">
      <c r="A385" s="2">
        <v>43057</v>
      </c>
      <c r="B385" s="3">
        <f t="shared" si="24"/>
        <v>2017</v>
      </c>
      <c r="C385" s="3">
        <f t="shared" si="25"/>
        <v>11</v>
      </c>
      <c r="D385" s="3">
        <f t="shared" si="26"/>
        <v>18</v>
      </c>
      <c r="E385" s="13">
        <v>25</v>
      </c>
      <c r="F385" s="13">
        <v>30.4</v>
      </c>
      <c r="G385" s="13">
        <v>29.2</v>
      </c>
      <c r="H385" s="34">
        <v>27.400000000000002</v>
      </c>
      <c r="I385" s="13">
        <v>31.6</v>
      </c>
      <c r="J385" s="13">
        <v>24.2</v>
      </c>
      <c r="K385" s="79" t="s">
        <v>9</v>
      </c>
      <c r="L385" s="20">
        <v>25</v>
      </c>
      <c r="M385" s="5"/>
      <c r="N385" s="13">
        <v>1007.6791666666669</v>
      </c>
      <c r="O385" s="8">
        <v>91.67104470687039</v>
      </c>
      <c r="P385" s="8">
        <v>64.262416686388704</v>
      </c>
      <c r="Q385" s="8">
        <v>73.916791693522484</v>
      </c>
      <c r="R385" s="57">
        <v>80.380324448412992</v>
      </c>
      <c r="S385" s="8">
        <v>4.2857142857142856</v>
      </c>
      <c r="T385" s="6">
        <v>190</v>
      </c>
      <c r="U385" s="20">
        <v>10</v>
      </c>
      <c r="V385" s="43">
        <v>0</v>
      </c>
    </row>
    <row r="386" spans="1:22" s="53" customFormat="1" x14ac:dyDescent="0.35">
      <c r="A386" s="2">
        <v>43058</v>
      </c>
      <c r="B386" s="3">
        <f t="shared" si="24"/>
        <v>2017</v>
      </c>
      <c r="C386" s="3">
        <f t="shared" si="25"/>
        <v>11</v>
      </c>
      <c r="D386" s="3">
        <f t="shared" si="26"/>
        <v>19</v>
      </c>
      <c r="E386" s="13">
        <v>26.4</v>
      </c>
      <c r="F386" s="13">
        <v>27.8</v>
      </c>
      <c r="G386" s="13">
        <v>28.2</v>
      </c>
      <c r="H386" s="34">
        <v>27.2</v>
      </c>
      <c r="I386" s="13">
        <v>29.6</v>
      </c>
      <c r="J386" s="13">
        <v>24.4</v>
      </c>
      <c r="K386" s="79">
        <v>1</v>
      </c>
      <c r="L386" s="20">
        <v>18.75</v>
      </c>
      <c r="M386" s="5"/>
      <c r="N386" s="13">
        <v>1008.2250000000003</v>
      </c>
      <c r="O386" s="8">
        <v>82.630907009563515</v>
      </c>
      <c r="P386" s="8">
        <v>87.612627726510183</v>
      </c>
      <c r="Q386" s="8">
        <v>81.850320983017781</v>
      </c>
      <c r="R386" s="57">
        <v>83.681190682163759</v>
      </c>
      <c r="S386" s="8">
        <v>3.3636363636363638</v>
      </c>
      <c r="T386" s="6">
        <v>210</v>
      </c>
      <c r="U386" s="20">
        <v>7</v>
      </c>
      <c r="V386" s="43">
        <v>0</v>
      </c>
    </row>
    <row r="387" spans="1:22" s="53" customFormat="1" x14ac:dyDescent="0.35">
      <c r="A387" s="2">
        <v>43059</v>
      </c>
      <c r="B387" s="3">
        <f t="shared" si="24"/>
        <v>2017</v>
      </c>
      <c r="C387" s="3">
        <f t="shared" si="25"/>
        <v>11</v>
      </c>
      <c r="D387" s="3">
        <f t="shared" si="26"/>
        <v>20</v>
      </c>
      <c r="E387" s="13">
        <v>24.8</v>
      </c>
      <c r="F387" s="13">
        <v>30.9</v>
      </c>
      <c r="G387" s="13">
        <v>28.9</v>
      </c>
      <c r="H387" s="34">
        <v>27.35</v>
      </c>
      <c r="I387" s="13">
        <v>31.6</v>
      </c>
      <c r="J387" s="13">
        <v>24.8</v>
      </c>
      <c r="K387" s="79" t="s">
        <v>9</v>
      </c>
      <c r="L387" s="20">
        <v>87.5</v>
      </c>
      <c r="M387" s="5"/>
      <c r="N387" s="13">
        <v>1008.0750000000002</v>
      </c>
      <c r="O387" s="8">
        <v>94.942299178076198</v>
      </c>
      <c r="P387" s="8">
        <v>65.233453867578632</v>
      </c>
      <c r="Q387" s="8">
        <v>75.807923501738273</v>
      </c>
      <c r="R387" s="57">
        <v>82.731493931367325</v>
      </c>
      <c r="S387" s="8">
        <v>4.4000000000000004</v>
      </c>
      <c r="T387" s="6">
        <v>210</v>
      </c>
      <c r="U387" s="20">
        <v>8</v>
      </c>
      <c r="V387" s="12">
        <v>0</v>
      </c>
    </row>
    <row r="388" spans="1:22" s="53" customFormat="1" x14ac:dyDescent="0.35">
      <c r="A388" s="2">
        <v>43060</v>
      </c>
      <c r="B388" s="3">
        <f t="shared" si="24"/>
        <v>2017</v>
      </c>
      <c r="C388" s="3">
        <f t="shared" si="25"/>
        <v>11</v>
      </c>
      <c r="D388" s="3">
        <f t="shared" si="26"/>
        <v>21</v>
      </c>
      <c r="E388" s="13">
        <v>25.4</v>
      </c>
      <c r="F388" s="13">
        <v>28.7</v>
      </c>
      <c r="G388" s="13">
        <v>27.6</v>
      </c>
      <c r="H388" s="34">
        <v>26.774999999999999</v>
      </c>
      <c r="I388" s="13">
        <v>30</v>
      </c>
      <c r="J388" s="13">
        <v>24.6</v>
      </c>
      <c r="K388" s="79">
        <v>0</v>
      </c>
      <c r="L388" s="20">
        <v>0</v>
      </c>
      <c r="M388" s="5"/>
      <c r="N388" s="13">
        <v>1007.1583333333332</v>
      </c>
      <c r="O388" s="8">
        <v>89</v>
      </c>
      <c r="P388" s="8">
        <v>77.095163603114429</v>
      </c>
      <c r="Q388" s="8">
        <v>81.620798614969161</v>
      </c>
      <c r="R388" s="57">
        <v>84.178990554520894</v>
      </c>
      <c r="S388" s="8">
        <v>4.1739130434782608</v>
      </c>
      <c r="T388" s="6">
        <v>230</v>
      </c>
      <c r="U388" s="20">
        <v>8</v>
      </c>
      <c r="V388" s="12">
        <v>0</v>
      </c>
    </row>
    <row r="389" spans="1:22" s="53" customFormat="1" x14ac:dyDescent="0.35">
      <c r="A389" s="2">
        <v>43061</v>
      </c>
      <c r="B389" s="3">
        <f t="shared" si="24"/>
        <v>2017</v>
      </c>
      <c r="C389" s="3">
        <f t="shared" si="25"/>
        <v>11</v>
      </c>
      <c r="D389" s="3">
        <f t="shared" si="26"/>
        <v>22</v>
      </c>
      <c r="E389" s="13">
        <v>25.8</v>
      </c>
      <c r="F389" s="13">
        <v>31.2</v>
      </c>
      <c r="G389" s="13">
        <v>26.8</v>
      </c>
      <c r="H389" s="34">
        <v>27.4</v>
      </c>
      <c r="I389" s="13">
        <v>31.4</v>
      </c>
      <c r="J389" s="13">
        <v>24.8</v>
      </c>
      <c r="K389" s="79">
        <v>11.4</v>
      </c>
      <c r="L389" s="20">
        <v>12.5</v>
      </c>
      <c r="M389" s="5"/>
      <c r="N389" s="13">
        <v>1006.1333333333333</v>
      </c>
      <c r="O389" s="8">
        <v>83.945057675197489</v>
      </c>
      <c r="P389" s="8">
        <v>67.313916450908422</v>
      </c>
      <c r="Q389" s="8">
        <v>95.169519458378588</v>
      </c>
      <c r="R389" s="57">
        <v>82.593387814920504</v>
      </c>
      <c r="S389" s="8">
        <v>5.291666666666667</v>
      </c>
      <c r="T389" s="6">
        <v>250</v>
      </c>
      <c r="U389" s="20">
        <v>11</v>
      </c>
      <c r="V389" s="43">
        <v>0</v>
      </c>
    </row>
    <row r="390" spans="1:22" s="53" customFormat="1" x14ac:dyDescent="0.35">
      <c r="A390" s="2">
        <v>43062</v>
      </c>
      <c r="B390" s="3">
        <f t="shared" si="24"/>
        <v>2017</v>
      </c>
      <c r="C390" s="3">
        <f t="shared" si="25"/>
        <v>11</v>
      </c>
      <c r="D390" s="3">
        <f t="shared" si="26"/>
        <v>23</v>
      </c>
      <c r="E390" s="13">
        <v>24.9</v>
      </c>
      <c r="F390" s="13">
        <v>29.8</v>
      </c>
      <c r="G390" s="13">
        <v>27.9</v>
      </c>
      <c r="H390" s="34">
        <v>26.875</v>
      </c>
      <c r="I390" s="13">
        <v>31.1</v>
      </c>
      <c r="J390" s="13">
        <v>24.9</v>
      </c>
      <c r="K390" s="79">
        <v>0</v>
      </c>
      <c r="L390" s="20">
        <v>23.75</v>
      </c>
      <c r="M390" s="5"/>
      <c r="N390" s="13">
        <v>1006.0916666666667</v>
      </c>
      <c r="O390" s="8">
        <v>94.127420652567864</v>
      </c>
      <c r="P390" s="8">
        <v>72.905295098273783</v>
      </c>
      <c r="Q390" s="8">
        <v>80.298406472200043</v>
      </c>
      <c r="R390" s="57">
        <v>85.364635718902392</v>
      </c>
      <c r="S390" s="8">
        <v>3.8823529411764706</v>
      </c>
      <c r="T390" s="6">
        <v>230</v>
      </c>
      <c r="U390" s="20">
        <v>8</v>
      </c>
      <c r="V390" s="43">
        <v>0</v>
      </c>
    </row>
    <row r="391" spans="1:22" s="53" customFormat="1" x14ac:dyDescent="0.35">
      <c r="A391" s="2">
        <v>43063</v>
      </c>
      <c r="B391" s="3">
        <f t="shared" si="24"/>
        <v>2017</v>
      </c>
      <c r="C391" s="3">
        <f t="shared" si="25"/>
        <v>11</v>
      </c>
      <c r="D391" s="3">
        <f t="shared" si="26"/>
        <v>24</v>
      </c>
      <c r="E391" s="13">
        <v>25.6</v>
      </c>
      <c r="F391" s="13">
        <v>26.4</v>
      </c>
      <c r="G391" s="13">
        <v>26</v>
      </c>
      <c r="H391" s="34">
        <v>25.9</v>
      </c>
      <c r="I391" s="13">
        <v>30.4</v>
      </c>
      <c r="J391" s="13">
        <v>24.6</v>
      </c>
      <c r="K391" s="79">
        <v>10.6</v>
      </c>
      <c r="L391" s="20">
        <v>3.75</v>
      </c>
      <c r="M391" s="5"/>
      <c r="N391" s="13">
        <v>1007.6791666666668</v>
      </c>
      <c r="O391" s="8">
        <v>93.405845462156279</v>
      </c>
      <c r="P391" s="8">
        <v>93.523155697782059</v>
      </c>
      <c r="Q391" s="8">
        <v>96.70866943506536</v>
      </c>
      <c r="R391" s="57">
        <v>94.260879014289998</v>
      </c>
      <c r="S391" s="8">
        <v>3.4666666666666668</v>
      </c>
      <c r="T391" s="6">
        <v>30</v>
      </c>
      <c r="U391" s="20">
        <v>7</v>
      </c>
      <c r="V391" s="43">
        <v>0</v>
      </c>
    </row>
    <row r="392" spans="1:22" s="53" customFormat="1" x14ac:dyDescent="0.35">
      <c r="A392" s="2">
        <v>43064</v>
      </c>
      <c r="B392" s="3">
        <f t="shared" si="24"/>
        <v>2017</v>
      </c>
      <c r="C392" s="3">
        <f t="shared" si="25"/>
        <v>11</v>
      </c>
      <c r="D392" s="3">
        <f t="shared" si="26"/>
        <v>25</v>
      </c>
      <c r="E392" s="13">
        <v>25</v>
      </c>
      <c r="F392" s="13">
        <v>30.8</v>
      </c>
      <c r="G392" s="13">
        <v>29</v>
      </c>
      <c r="H392" s="34">
        <v>27.45</v>
      </c>
      <c r="I392" s="13">
        <v>32</v>
      </c>
      <c r="J392" s="13">
        <v>24.6</v>
      </c>
      <c r="K392" s="79" t="s">
        <v>9</v>
      </c>
      <c r="L392" s="20">
        <v>58.75</v>
      </c>
      <c r="M392" s="5"/>
      <c r="N392" s="13">
        <v>1007.8208333333336</v>
      </c>
      <c r="O392" s="8">
        <v>96.631543607210958</v>
      </c>
      <c r="P392" s="8">
        <v>69.573541127761004</v>
      </c>
      <c r="Q392" s="8">
        <v>75.857468732250879</v>
      </c>
      <c r="R392" s="57">
        <v>84.673524268608446</v>
      </c>
      <c r="S392" s="8">
        <v>3.2941176470588234</v>
      </c>
      <c r="T392" s="6">
        <v>170</v>
      </c>
      <c r="U392" s="20">
        <v>6</v>
      </c>
      <c r="V392" s="43">
        <v>0</v>
      </c>
    </row>
    <row r="393" spans="1:22" s="53" customFormat="1" x14ac:dyDescent="0.35">
      <c r="A393" s="2">
        <v>43065</v>
      </c>
      <c r="B393" s="3">
        <f t="shared" si="24"/>
        <v>2017</v>
      </c>
      <c r="C393" s="3">
        <f t="shared" si="25"/>
        <v>11</v>
      </c>
      <c r="D393" s="3">
        <f t="shared" si="26"/>
        <v>26</v>
      </c>
      <c r="E393" s="13">
        <v>25.8</v>
      </c>
      <c r="F393" s="13">
        <v>30.4</v>
      </c>
      <c r="G393" s="13">
        <v>27.5</v>
      </c>
      <c r="H393" s="34">
        <v>27.375</v>
      </c>
      <c r="I393" s="13">
        <v>31</v>
      </c>
      <c r="J393" s="13">
        <v>25.2</v>
      </c>
      <c r="K393" s="79">
        <v>0</v>
      </c>
      <c r="L393" s="20">
        <v>65</v>
      </c>
      <c r="M393" s="5"/>
      <c r="N393" s="13">
        <v>1006.8333333333334</v>
      </c>
      <c r="O393" s="8">
        <v>93.433780995494587</v>
      </c>
      <c r="P393" s="8">
        <v>70.613913986475168</v>
      </c>
      <c r="Q393" s="8">
        <v>82.319037277394671</v>
      </c>
      <c r="R393" s="57">
        <v>84.950128313714757</v>
      </c>
      <c r="S393" s="8" t="e">
        <v>#N/A</v>
      </c>
      <c r="T393" s="6">
        <v>200</v>
      </c>
      <c r="U393" s="20" t="e">
        <v>#N/A</v>
      </c>
      <c r="V393" s="12">
        <v>0</v>
      </c>
    </row>
    <row r="394" spans="1:22" s="53" customFormat="1" x14ac:dyDescent="0.35">
      <c r="A394" s="2">
        <v>43066</v>
      </c>
      <c r="B394" s="3">
        <f t="shared" si="24"/>
        <v>2017</v>
      </c>
      <c r="C394" s="3">
        <f t="shared" si="25"/>
        <v>11</v>
      </c>
      <c r="D394" s="3">
        <f t="shared" si="26"/>
        <v>27</v>
      </c>
      <c r="E394" s="13">
        <v>25.4</v>
      </c>
      <c r="F394" s="13">
        <v>30</v>
      </c>
      <c r="G394" s="13">
        <v>28.6</v>
      </c>
      <c r="H394" s="34">
        <v>27.35</v>
      </c>
      <c r="I394" s="13">
        <v>30.8</v>
      </c>
      <c r="J394" s="13">
        <v>24.8</v>
      </c>
      <c r="K394" s="79">
        <v>6.4</v>
      </c>
      <c r="L394" s="20">
        <v>12.5</v>
      </c>
      <c r="M394" s="5"/>
      <c r="N394" s="13">
        <v>1005.6958333333333</v>
      </c>
      <c r="O394" s="8">
        <v>91.751251192070455</v>
      </c>
      <c r="P394" s="8">
        <v>75.008788643222189</v>
      </c>
      <c r="Q394" s="8">
        <v>82.014086397588898</v>
      </c>
      <c r="R394" s="57">
        <v>85.131344356238003</v>
      </c>
      <c r="S394" s="8">
        <v>4.2173913043478262</v>
      </c>
      <c r="T394" s="6">
        <v>350</v>
      </c>
      <c r="U394" s="20">
        <v>10</v>
      </c>
      <c r="V394" s="12">
        <v>0</v>
      </c>
    </row>
    <row r="395" spans="1:22" s="53" customFormat="1" x14ac:dyDescent="0.35">
      <c r="A395" s="2">
        <v>43067</v>
      </c>
      <c r="B395" s="3">
        <f t="shared" si="24"/>
        <v>2017</v>
      </c>
      <c r="C395" s="3">
        <f t="shared" si="25"/>
        <v>11</v>
      </c>
      <c r="D395" s="3">
        <f t="shared" si="26"/>
        <v>28</v>
      </c>
      <c r="E395" s="13">
        <v>25.4</v>
      </c>
      <c r="F395" s="13">
        <v>30</v>
      </c>
      <c r="G395" s="13">
        <v>25</v>
      </c>
      <c r="H395" s="34">
        <v>26.45</v>
      </c>
      <c r="I395" s="13">
        <v>31.4</v>
      </c>
      <c r="J395" s="13">
        <v>24</v>
      </c>
      <c r="K395" s="18">
        <v>48</v>
      </c>
      <c r="L395" s="20">
        <v>0</v>
      </c>
      <c r="M395" s="5"/>
      <c r="N395" s="13">
        <v>1006.5875000000001</v>
      </c>
      <c r="O395" s="8">
        <v>93.378415207896097</v>
      </c>
      <c r="P395" s="8">
        <v>78.381976412287401</v>
      </c>
      <c r="Q395" s="8">
        <v>94.969069238953409</v>
      </c>
      <c r="R395" s="57">
        <v>90.026969016758258</v>
      </c>
      <c r="S395" s="8">
        <v>5.333333333333333</v>
      </c>
      <c r="T395" s="6">
        <v>230</v>
      </c>
      <c r="U395" s="20">
        <v>15</v>
      </c>
      <c r="V395" s="12">
        <v>0</v>
      </c>
    </row>
    <row r="396" spans="1:22" s="53" customFormat="1" x14ac:dyDescent="0.35">
      <c r="A396" s="2">
        <v>43068</v>
      </c>
      <c r="B396" s="3">
        <f t="shared" si="24"/>
        <v>2017</v>
      </c>
      <c r="C396" s="3">
        <f t="shared" si="25"/>
        <v>11</v>
      </c>
      <c r="D396" s="3">
        <f t="shared" si="26"/>
        <v>29</v>
      </c>
      <c r="E396" s="13">
        <v>24.8</v>
      </c>
      <c r="F396" s="13">
        <v>31.8</v>
      </c>
      <c r="G396" s="13">
        <v>24.6</v>
      </c>
      <c r="H396" s="34">
        <v>26.5</v>
      </c>
      <c r="I396" s="13">
        <v>32.4</v>
      </c>
      <c r="J396" s="13">
        <v>24.2</v>
      </c>
      <c r="K396" s="79">
        <v>2.4</v>
      </c>
      <c r="L396" s="20">
        <v>98.75</v>
      </c>
      <c r="M396" s="5"/>
      <c r="N396" s="13">
        <v>1006.7291666666665</v>
      </c>
      <c r="O396" s="8">
        <v>86.759303323624493</v>
      </c>
      <c r="P396" s="8">
        <v>64.034172584261171</v>
      </c>
      <c r="Q396" s="8">
        <v>96.601965186461285</v>
      </c>
      <c r="R396" s="57">
        <v>83.538686104492854</v>
      </c>
      <c r="S396" s="8">
        <v>4.8695652173913047</v>
      </c>
      <c r="T396" s="6">
        <v>210</v>
      </c>
      <c r="U396" s="20">
        <v>23</v>
      </c>
      <c r="V396" s="12">
        <v>0</v>
      </c>
    </row>
    <row r="397" spans="1:22" s="53" customFormat="1" x14ac:dyDescent="0.35">
      <c r="A397" s="2">
        <v>43069</v>
      </c>
      <c r="B397" s="3">
        <f t="shared" si="24"/>
        <v>2017</v>
      </c>
      <c r="C397" s="3">
        <f t="shared" si="25"/>
        <v>11</v>
      </c>
      <c r="D397" s="3">
        <f t="shared" si="26"/>
        <v>30</v>
      </c>
      <c r="E397" s="13">
        <v>25.2</v>
      </c>
      <c r="F397" s="13">
        <v>29.8</v>
      </c>
      <c r="G397" s="13">
        <v>25.8</v>
      </c>
      <c r="H397" s="34">
        <v>26.5</v>
      </c>
      <c r="I397" s="13">
        <v>30.8</v>
      </c>
      <c r="J397" s="13">
        <v>25</v>
      </c>
      <c r="K397" s="79">
        <v>5.0999999999999996</v>
      </c>
      <c r="L397" s="20">
        <v>45</v>
      </c>
      <c r="M397" s="5"/>
      <c r="N397" s="13">
        <v>1006.1291666666667</v>
      </c>
      <c r="O397" s="8">
        <v>95.818408123171068</v>
      </c>
      <c r="P397" s="8">
        <v>73.566333459827135</v>
      </c>
      <c r="Q397" s="8">
        <v>91.828444712159779</v>
      </c>
      <c r="R397" s="57">
        <v>89.257898604582266</v>
      </c>
      <c r="S397" s="8">
        <v>4.5882352941176467</v>
      </c>
      <c r="T397" s="6">
        <v>290</v>
      </c>
      <c r="U397" s="20">
        <v>9</v>
      </c>
      <c r="V397" s="12">
        <v>0</v>
      </c>
    </row>
    <row r="398" spans="1:22" s="53" customFormat="1" x14ac:dyDescent="0.35">
      <c r="A398" s="2">
        <v>43070</v>
      </c>
      <c r="B398" s="3">
        <f t="shared" si="24"/>
        <v>2017</v>
      </c>
      <c r="C398" s="3">
        <f t="shared" si="25"/>
        <v>12</v>
      </c>
      <c r="D398" s="3">
        <f t="shared" si="26"/>
        <v>1</v>
      </c>
      <c r="E398" s="13">
        <v>26</v>
      </c>
      <c r="F398" s="13">
        <v>26.6</v>
      </c>
      <c r="G398" s="13">
        <v>27.5</v>
      </c>
      <c r="H398" s="34">
        <v>26.524999999999999</v>
      </c>
      <c r="I398" s="13">
        <v>28.2</v>
      </c>
      <c r="J398" s="13">
        <v>25.3</v>
      </c>
      <c r="K398" s="79">
        <v>0</v>
      </c>
      <c r="L398" s="20">
        <v>0</v>
      </c>
      <c r="M398" s="5"/>
      <c r="N398" s="13">
        <v>1006.2125000000001</v>
      </c>
      <c r="O398" s="8">
        <v>100</v>
      </c>
      <c r="P398" s="8">
        <v>91.182594768438733</v>
      </c>
      <c r="Q398" s="8">
        <v>84.542644035045384</v>
      </c>
      <c r="R398" s="8">
        <v>93.931309700871026</v>
      </c>
      <c r="S398" s="20" t="e">
        <v>#N/A</v>
      </c>
      <c r="T398" s="6">
        <v>260</v>
      </c>
      <c r="U398" s="20" t="e">
        <v>#N/A</v>
      </c>
      <c r="V398" s="43">
        <v>0</v>
      </c>
    </row>
    <row r="399" spans="1:22" s="53" customFormat="1" x14ac:dyDescent="0.35">
      <c r="A399" s="2">
        <v>43071</v>
      </c>
      <c r="B399" s="3">
        <f t="shared" si="24"/>
        <v>2017</v>
      </c>
      <c r="C399" s="3">
        <f t="shared" si="25"/>
        <v>12</v>
      </c>
      <c r="D399" s="3">
        <f t="shared" si="26"/>
        <v>2</v>
      </c>
      <c r="E399" s="13">
        <v>25.9</v>
      </c>
      <c r="F399" s="13">
        <v>31</v>
      </c>
      <c r="G399" s="13">
        <v>29.6</v>
      </c>
      <c r="H399" s="34">
        <v>28.1</v>
      </c>
      <c r="I399" s="13">
        <v>31.8</v>
      </c>
      <c r="J399" s="13">
        <v>25.4</v>
      </c>
      <c r="K399" s="79" t="s">
        <v>9</v>
      </c>
      <c r="L399" s="20">
        <v>68.75</v>
      </c>
      <c r="M399" s="5"/>
      <c r="N399" s="13">
        <v>1006.7208333333336</v>
      </c>
      <c r="O399" s="8">
        <v>95.07122519320518</v>
      </c>
      <c r="P399" s="8">
        <v>69.696025724544569</v>
      </c>
      <c r="Q399" s="8">
        <v>74.139561701926695</v>
      </c>
      <c r="R399" s="8">
        <v>83.494509453220417</v>
      </c>
      <c r="S399" s="20">
        <v>4.8947368421052628</v>
      </c>
      <c r="T399" s="6">
        <v>290</v>
      </c>
      <c r="U399" s="20">
        <v>10</v>
      </c>
      <c r="V399" s="43">
        <v>0</v>
      </c>
    </row>
    <row r="400" spans="1:22" s="53" customFormat="1" x14ac:dyDescent="0.35">
      <c r="A400" s="2">
        <v>43072</v>
      </c>
      <c r="B400" s="3">
        <f t="shared" si="24"/>
        <v>2017</v>
      </c>
      <c r="C400" s="3">
        <f t="shared" si="25"/>
        <v>12</v>
      </c>
      <c r="D400" s="3">
        <f t="shared" si="26"/>
        <v>3</v>
      </c>
      <c r="E400" s="13">
        <v>25.4</v>
      </c>
      <c r="F400" s="13">
        <v>31.6</v>
      </c>
      <c r="G400" s="13">
        <v>29.8</v>
      </c>
      <c r="H400" s="34">
        <v>28.05</v>
      </c>
      <c r="I400" s="13">
        <v>32</v>
      </c>
      <c r="J400" s="13">
        <v>24.6</v>
      </c>
      <c r="K400" s="79" t="s">
        <v>9</v>
      </c>
      <c r="L400" s="20">
        <v>100</v>
      </c>
      <c r="M400" s="5"/>
      <c r="N400" s="13">
        <v>1007.2708333333334</v>
      </c>
      <c r="O400" s="8">
        <v>83.791882512494013</v>
      </c>
      <c r="P400" s="8">
        <v>66.327306832968745</v>
      </c>
      <c r="Q400" s="8">
        <v>79.66983320381371</v>
      </c>
      <c r="R400" s="8">
        <v>78.395226265442616</v>
      </c>
      <c r="S400" s="20">
        <v>4.916666666666667</v>
      </c>
      <c r="T400" s="6">
        <v>180</v>
      </c>
      <c r="U400" s="20">
        <v>10</v>
      </c>
      <c r="V400" s="43">
        <v>0</v>
      </c>
    </row>
    <row r="401" spans="1:22" s="53" customFormat="1" x14ac:dyDescent="0.35">
      <c r="A401" s="2">
        <v>43073</v>
      </c>
      <c r="B401" s="3">
        <f t="shared" si="24"/>
        <v>2017</v>
      </c>
      <c r="C401" s="3">
        <f t="shared" si="25"/>
        <v>12</v>
      </c>
      <c r="D401" s="3">
        <f t="shared" si="26"/>
        <v>4</v>
      </c>
      <c r="E401" s="13">
        <v>25.4</v>
      </c>
      <c r="F401" s="13">
        <v>31.6</v>
      </c>
      <c r="G401" s="13">
        <v>29.4</v>
      </c>
      <c r="H401" s="34">
        <v>27.950000000000003</v>
      </c>
      <c r="I401" s="13">
        <v>32</v>
      </c>
      <c r="J401" s="13">
        <v>24.2</v>
      </c>
      <c r="K401" s="79" t="s">
        <v>9</v>
      </c>
      <c r="L401" s="20">
        <v>100</v>
      </c>
      <c r="M401" s="5"/>
      <c r="N401" s="13">
        <v>1007.1000000000003</v>
      </c>
      <c r="O401" s="8">
        <v>92.559583952332787</v>
      </c>
      <c r="P401" s="8">
        <v>67.555629170998415</v>
      </c>
      <c r="Q401" s="8">
        <v>82.306081156725284</v>
      </c>
      <c r="R401" s="8">
        <v>83.745219558097318</v>
      </c>
      <c r="S401" s="20">
        <v>5</v>
      </c>
      <c r="T401" s="6">
        <v>300</v>
      </c>
      <c r="U401" s="20">
        <v>14</v>
      </c>
      <c r="V401" s="43">
        <v>0</v>
      </c>
    </row>
    <row r="402" spans="1:22" s="53" customFormat="1" x14ac:dyDescent="0.35">
      <c r="A402" s="2">
        <v>43074</v>
      </c>
      <c r="B402" s="3">
        <f t="shared" si="24"/>
        <v>2017</v>
      </c>
      <c r="C402" s="3">
        <f t="shared" si="25"/>
        <v>12</v>
      </c>
      <c r="D402" s="3">
        <f t="shared" si="26"/>
        <v>5</v>
      </c>
      <c r="E402" s="13">
        <v>25.2</v>
      </c>
      <c r="F402" s="13">
        <v>32.4</v>
      </c>
      <c r="G402" s="13">
        <v>29.8</v>
      </c>
      <c r="H402" s="34">
        <v>28.15</v>
      </c>
      <c r="I402" s="13">
        <v>32.799999999999997</v>
      </c>
      <c r="J402" s="13">
        <v>25.2</v>
      </c>
      <c r="K402" s="79" t="s">
        <v>9</v>
      </c>
      <c r="L402" s="20">
        <v>100</v>
      </c>
      <c r="M402" s="5"/>
      <c r="N402" s="13">
        <v>1007.5791666666668</v>
      </c>
      <c r="O402" s="8">
        <v>79.054690268195188</v>
      </c>
      <c r="P402" s="8">
        <v>54.080787271829479</v>
      </c>
      <c r="Q402" s="8">
        <v>67.021319767189325</v>
      </c>
      <c r="R402" s="8">
        <v>69.802871893852299</v>
      </c>
      <c r="S402" s="20">
        <v>3.5789473684210527</v>
      </c>
      <c r="T402" s="6">
        <v>270</v>
      </c>
      <c r="U402" s="20">
        <v>8</v>
      </c>
      <c r="V402" s="43">
        <v>0</v>
      </c>
    </row>
    <row r="403" spans="1:22" s="53" customFormat="1" x14ac:dyDescent="0.35">
      <c r="A403" s="2">
        <v>43075</v>
      </c>
      <c r="B403" s="3">
        <f t="shared" si="24"/>
        <v>2017</v>
      </c>
      <c r="C403" s="3">
        <f t="shared" si="25"/>
        <v>12</v>
      </c>
      <c r="D403" s="3">
        <f t="shared" si="26"/>
        <v>6</v>
      </c>
      <c r="E403" s="13">
        <v>26.4</v>
      </c>
      <c r="F403" s="13">
        <v>31.3</v>
      </c>
      <c r="G403" s="13">
        <v>29.8</v>
      </c>
      <c r="H403" s="34">
        <v>28.474999999999998</v>
      </c>
      <c r="I403" s="13">
        <v>32.1</v>
      </c>
      <c r="J403" s="13">
        <v>25</v>
      </c>
      <c r="K403" s="79">
        <v>5</v>
      </c>
      <c r="L403" s="20">
        <v>85</v>
      </c>
      <c r="M403" s="5"/>
      <c r="N403" s="13">
        <v>1008.2541666666666</v>
      </c>
      <c r="O403" s="8">
        <v>91.932044871486724</v>
      </c>
      <c r="P403" s="8">
        <v>65.508652977285692</v>
      </c>
      <c r="Q403" s="8">
        <v>78.293623758294046</v>
      </c>
      <c r="R403" s="8">
        <v>81.916591619638297</v>
      </c>
      <c r="S403" s="20">
        <v>3.9545454545454546</v>
      </c>
      <c r="T403" s="6">
        <v>50</v>
      </c>
      <c r="U403" s="20">
        <v>8</v>
      </c>
      <c r="V403" s="43">
        <v>0</v>
      </c>
    </row>
    <row r="404" spans="1:22" s="53" customFormat="1" x14ac:dyDescent="0.35">
      <c r="A404" s="2">
        <v>43076</v>
      </c>
      <c r="B404" s="3">
        <f t="shared" si="24"/>
        <v>2017</v>
      </c>
      <c r="C404" s="3">
        <f t="shared" si="25"/>
        <v>12</v>
      </c>
      <c r="D404" s="3">
        <f t="shared" si="26"/>
        <v>7</v>
      </c>
      <c r="E404" s="13">
        <v>26</v>
      </c>
      <c r="F404" s="13">
        <v>32</v>
      </c>
      <c r="G404" s="13">
        <v>29.8</v>
      </c>
      <c r="H404" s="34">
        <v>28.45</v>
      </c>
      <c r="I404" s="13">
        <v>32.5</v>
      </c>
      <c r="J404" s="13">
        <v>23.4</v>
      </c>
      <c r="K404" s="79">
        <v>6.6</v>
      </c>
      <c r="L404" s="20">
        <v>87.5</v>
      </c>
      <c r="M404" s="5"/>
      <c r="N404" s="13">
        <v>1008.9916666666664</v>
      </c>
      <c r="O404" s="8">
        <v>96.706684066173011</v>
      </c>
      <c r="P404" s="8">
        <v>67.791192692405986</v>
      </c>
      <c r="Q404" s="8">
        <v>74.228686305129798</v>
      </c>
      <c r="R404" s="8">
        <v>83.858311782470452</v>
      </c>
      <c r="S404" s="20">
        <v>4.5714285714285712</v>
      </c>
      <c r="T404" s="6">
        <v>220</v>
      </c>
      <c r="U404" s="20">
        <v>9</v>
      </c>
      <c r="V404" s="43">
        <v>0</v>
      </c>
    </row>
    <row r="405" spans="1:22" s="53" customFormat="1" x14ac:dyDescent="0.35">
      <c r="A405" s="2">
        <v>43077</v>
      </c>
      <c r="B405" s="3">
        <f t="shared" si="24"/>
        <v>2017</v>
      </c>
      <c r="C405" s="3">
        <f t="shared" si="25"/>
        <v>12</v>
      </c>
      <c r="D405" s="3">
        <f t="shared" si="26"/>
        <v>8</v>
      </c>
      <c r="E405" s="13">
        <v>26</v>
      </c>
      <c r="F405" s="13">
        <v>30.2</v>
      </c>
      <c r="G405" s="13">
        <v>29</v>
      </c>
      <c r="H405" s="34">
        <v>27.8</v>
      </c>
      <c r="I405" s="13">
        <v>31.1</v>
      </c>
      <c r="J405" s="13">
        <v>23</v>
      </c>
      <c r="K405" s="79">
        <v>17.5</v>
      </c>
      <c r="L405" s="20">
        <v>52.5</v>
      </c>
      <c r="M405" s="5"/>
      <c r="N405" s="13">
        <v>1009.6083333333331</v>
      </c>
      <c r="O405" s="8">
        <v>91.852925651564817</v>
      </c>
      <c r="P405" s="8">
        <v>74.421464052591105</v>
      </c>
      <c r="Q405" s="8">
        <v>82.148959692002848</v>
      </c>
      <c r="R405" s="8">
        <v>85.069068761930893</v>
      </c>
      <c r="S405" s="20">
        <v>4.7368421052631575</v>
      </c>
      <c r="T405" s="6">
        <v>290</v>
      </c>
      <c r="U405" s="20">
        <v>12</v>
      </c>
      <c r="V405" s="43">
        <v>0</v>
      </c>
    </row>
    <row r="406" spans="1:22" s="53" customFormat="1" x14ac:dyDescent="0.35">
      <c r="A406" s="2">
        <v>43078</v>
      </c>
      <c r="B406" s="3">
        <f t="shared" si="24"/>
        <v>2017</v>
      </c>
      <c r="C406" s="3">
        <f t="shared" si="25"/>
        <v>12</v>
      </c>
      <c r="D406" s="3">
        <f t="shared" si="26"/>
        <v>9</v>
      </c>
      <c r="E406" s="13">
        <v>25.6</v>
      </c>
      <c r="F406" s="13">
        <v>31.6</v>
      </c>
      <c r="G406" s="13">
        <v>25.8</v>
      </c>
      <c r="H406" s="34">
        <v>27.150000000000002</v>
      </c>
      <c r="I406" s="13">
        <v>32.200000000000003</v>
      </c>
      <c r="J406" s="13">
        <v>24.9</v>
      </c>
      <c r="K406" s="79">
        <v>51.5</v>
      </c>
      <c r="L406" s="20">
        <v>87.5</v>
      </c>
      <c r="M406" s="5"/>
      <c r="N406" s="13">
        <v>1009.8041666666664</v>
      </c>
      <c r="O406" s="8">
        <v>95.031285096133928</v>
      </c>
      <c r="P406" s="8">
        <v>63.871348934306617</v>
      </c>
      <c r="Q406" s="8">
        <v>98.340284313202559</v>
      </c>
      <c r="R406" s="8">
        <v>88.068550859944253</v>
      </c>
      <c r="S406" s="20">
        <v>3.8823529411764706</v>
      </c>
      <c r="T406" s="6">
        <v>220</v>
      </c>
      <c r="U406" s="20">
        <v>9</v>
      </c>
      <c r="V406" s="43">
        <v>0</v>
      </c>
    </row>
    <row r="407" spans="1:22" s="53" customFormat="1" x14ac:dyDescent="0.35">
      <c r="A407" s="2">
        <v>43079</v>
      </c>
      <c r="B407" s="3">
        <f t="shared" si="24"/>
        <v>2017</v>
      </c>
      <c r="C407" s="3">
        <f t="shared" si="25"/>
        <v>12</v>
      </c>
      <c r="D407" s="3">
        <f t="shared" si="26"/>
        <v>10</v>
      </c>
      <c r="E407" s="13">
        <v>25.4</v>
      </c>
      <c r="F407" s="13">
        <v>30</v>
      </c>
      <c r="G407" s="13">
        <v>24.4</v>
      </c>
      <c r="H407" s="34">
        <v>26.299999999999997</v>
      </c>
      <c r="I407" s="13">
        <v>31.8</v>
      </c>
      <c r="J407" s="13">
        <v>23.8</v>
      </c>
      <c r="K407" s="79">
        <v>2.8</v>
      </c>
      <c r="L407" s="22">
        <v>66.25</v>
      </c>
      <c r="M407" s="5"/>
      <c r="N407" s="13">
        <v>1010.3541666666665</v>
      </c>
      <c r="O407" s="8">
        <v>95.008685174185288</v>
      </c>
      <c r="P407" s="8">
        <v>71.665401646409279</v>
      </c>
      <c r="Q407" s="8">
        <v>94.051151587211351</v>
      </c>
      <c r="R407" s="8">
        <v>88.933480895497794</v>
      </c>
      <c r="S407" s="20">
        <v>4.791666666666667</v>
      </c>
      <c r="T407" s="6">
        <v>210</v>
      </c>
      <c r="U407" s="20">
        <v>16</v>
      </c>
      <c r="V407" s="43">
        <v>0</v>
      </c>
    </row>
    <row r="408" spans="1:22" s="53" customFormat="1" x14ac:dyDescent="0.35">
      <c r="A408" s="2">
        <v>43080</v>
      </c>
      <c r="B408" s="3">
        <f t="shared" si="24"/>
        <v>2017</v>
      </c>
      <c r="C408" s="3">
        <f t="shared" si="25"/>
        <v>12</v>
      </c>
      <c r="D408" s="3">
        <f t="shared" si="26"/>
        <v>11</v>
      </c>
      <c r="E408" s="13">
        <v>25.2</v>
      </c>
      <c r="F408" s="13">
        <v>31</v>
      </c>
      <c r="G408" s="13">
        <v>24.4</v>
      </c>
      <c r="H408" s="34">
        <v>26.450000000000003</v>
      </c>
      <c r="I408" s="13">
        <v>31.4</v>
      </c>
      <c r="J408" s="13">
        <v>24.2</v>
      </c>
      <c r="K408" s="79">
        <v>10.9</v>
      </c>
      <c r="L408" s="20">
        <v>12.5</v>
      </c>
      <c r="M408" s="5"/>
      <c r="N408" s="13">
        <v>1010.4708333333333</v>
      </c>
      <c r="O408" s="8">
        <v>93.339222015572759</v>
      </c>
      <c r="P408" s="8">
        <v>65.902499202173232</v>
      </c>
      <c r="Q408" s="8">
        <v>94.050787658717056</v>
      </c>
      <c r="R408" s="8">
        <v>86.657932723008955</v>
      </c>
      <c r="S408" s="20">
        <v>4</v>
      </c>
      <c r="T408" s="6">
        <v>230</v>
      </c>
      <c r="U408" s="20">
        <v>10</v>
      </c>
      <c r="V408" s="43">
        <v>0</v>
      </c>
    </row>
    <row r="409" spans="1:22" s="53" customFormat="1" x14ac:dyDescent="0.35">
      <c r="A409" s="2">
        <v>43081</v>
      </c>
      <c r="B409" s="3">
        <f t="shared" si="24"/>
        <v>2017</v>
      </c>
      <c r="C409" s="3">
        <f t="shared" si="25"/>
        <v>12</v>
      </c>
      <c r="D409" s="3">
        <f t="shared" si="26"/>
        <v>12</v>
      </c>
      <c r="E409" s="13">
        <v>25</v>
      </c>
      <c r="F409" s="13">
        <v>29</v>
      </c>
      <c r="G409" s="13">
        <v>28.6</v>
      </c>
      <c r="H409" s="34">
        <v>26.9</v>
      </c>
      <c r="I409" s="13">
        <v>30.1</v>
      </c>
      <c r="J409" s="13">
        <v>24.3</v>
      </c>
      <c r="K409" s="79">
        <v>12.799999999999999</v>
      </c>
      <c r="L409" s="22">
        <v>13.750000000000002</v>
      </c>
      <c r="M409" s="5"/>
      <c r="N409" s="13">
        <v>1009.9666666666667</v>
      </c>
      <c r="O409" s="8">
        <v>91.663269833047266</v>
      </c>
      <c r="P409" s="8">
        <v>77.218702502917807</v>
      </c>
      <c r="Q409" s="8">
        <v>81.99557400314842</v>
      </c>
      <c r="R409" s="8">
        <v>85.63520404304019</v>
      </c>
      <c r="S409" s="20">
        <v>3.5</v>
      </c>
      <c r="T409" s="6">
        <v>300</v>
      </c>
      <c r="U409" s="20">
        <v>6</v>
      </c>
      <c r="V409" s="43">
        <v>0</v>
      </c>
    </row>
    <row r="410" spans="1:22" s="53" customFormat="1" x14ac:dyDescent="0.35">
      <c r="A410" s="2">
        <v>43082</v>
      </c>
      <c r="B410" s="3">
        <f t="shared" si="24"/>
        <v>2017</v>
      </c>
      <c r="C410" s="3">
        <f t="shared" si="25"/>
        <v>12</v>
      </c>
      <c r="D410" s="3">
        <f t="shared" si="26"/>
        <v>13</v>
      </c>
      <c r="E410" s="13">
        <v>24.7</v>
      </c>
      <c r="F410" s="13">
        <v>30.6</v>
      </c>
      <c r="G410" s="13">
        <v>29</v>
      </c>
      <c r="H410" s="34">
        <v>27.25</v>
      </c>
      <c r="I410" s="13">
        <v>31.2</v>
      </c>
      <c r="J410" s="13">
        <v>24.5</v>
      </c>
      <c r="K410" s="79" t="s">
        <v>9</v>
      </c>
      <c r="L410" s="20">
        <v>100</v>
      </c>
      <c r="M410" s="5"/>
      <c r="N410" s="13">
        <v>1009.6625</v>
      </c>
      <c r="O410" s="8">
        <v>96.606019931820214</v>
      </c>
      <c r="P410" s="8">
        <v>72.005158318238372</v>
      </c>
      <c r="Q410" s="8">
        <v>80.021178406758708</v>
      </c>
      <c r="R410" s="8">
        <v>86.309594147159373</v>
      </c>
      <c r="S410" s="20">
        <v>4.882352941176471</v>
      </c>
      <c r="T410" s="6">
        <v>280</v>
      </c>
      <c r="U410" s="20">
        <v>10</v>
      </c>
      <c r="V410" s="43">
        <v>0</v>
      </c>
    </row>
    <row r="411" spans="1:22" s="53" customFormat="1" x14ac:dyDescent="0.35">
      <c r="A411" s="2">
        <v>43083</v>
      </c>
      <c r="B411" s="3">
        <f t="shared" si="24"/>
        <v>2017</v>
      </c>
      <c r="C411" s="3">
        <f t="shared" si="25"/>
        <v>12</v>
      </c>
      <c r="D411" s="3">
        <f t="shared" si="26"/>
        <v>14</v>
      </c>
      <c r="E411" s="13">
        <v>25.8</v>
      </c>
      <c r="F411" s="13">
        <v>28.2</v>
      </c>
      <c r="G411" s="13">
        <v>24.2</v>
      </c>
      <c r="H411" s="34">
        <v>26</v>
      </c>
      <c r="I411" s="13">
        <v>30.8</v>
      </c>
      <c r="J411" s="13">
        <v>24</v>
      </c>
      <c r="K411" s="79">
        <v>70</v>
      </c>
      <c r="L411" s="20">
        <v>0</v>
      </c>
      <c r="M411" s="5"/>
      <c r="N411" s="13">
        <v>1009.8416666666667</v>
      </c>
      <c r="O411" s="8">
        <v>87.836998512493324</v>
      </c>
      <c r="P411" s="8">
        <v>73.337236824306899</v>
      </c>
      <c r="Q411" s="8">
        <v>98.27699670029385</v>
      </c>
      <c r="R411" s="8">
        <v>86.822057637396853</v>
      </c>
      <c r="S411" s="20">
        <v>4.625</v>
      </c>
      <c r="T411" s="6">
        <v>320</v>
      </c>
      <c r="U411" s="37">
        <v>12</v>
      </c>
      <c r="V411" s="58">
        <v>0</v>
      </c>
    </row>
    <row r="412" spans="1:22" s="53" customFormat="1" x14ac:dyDescent="0.35">
      <c r="A412" s="2">
        <v>43084</v>
      </c>
      <c r="B412" s="3">
        <f t="shared" si="24"/>
        <v>2017</v>
      </c>
      <c r="C412" s="3">
        <f t="shared" si="25"/>
        <v>12</v>
      </c>
      <c r="D412" s="3">
        <f t="shared" si="26"/>
        <v>15</v>
      </c>
      <c r="E412" s="13">
        <v>24.8</v>
      </c>
      <c r="F412" s="13">
        <v>30.4</v>
      </c>
      <c r="G412" s="13">
        <v>28.3</v>
      </c>
      <c r="H412" s="34">
        <v>27.074999999999999</v>
      </c>
      <c r="I412" s="13">
        <v>31</v>
      </c>
      <c r="J412" s="13">
        <v>24.3</v>
      </c>
      <c r="K412" s="83" t="s">
        <v>9</v>
      </c>
      <c r="L412" s="20">
        <v>100</v>
      </c>
      <c r="M412" s="5"/>
      <c r="N412" s="13">
        <v>1009.4583333333334</v>
      </c>
      <c r="O412" s="8">
        <v>96.613630916199128</v>
      </c>
      <c r="P412" s="8">
        <v>71.896483838440261</v>
      </c>
      <c r="Q412" s="8">
        <v>80.443506263256467</v>
      </c>
      <c r="R412" s="8">
        <v>86.391812983523749</v>
      </c>
      <c r="S412" s="20">
        <v>5.4285714285714288</v>
      </c>
      <c r="T412" s="6">
        <v>290</v>
      </c>
      <c r="U412" s="20">
        <v>11</v>
      </c>
      <c r="V412" s="43">
        <v>0</v>
      </c>
    </row>
    <row r="413" spans="1:22" s="53" customFormat="1" x14ac:dyDescent="0.35">
      <c r="A413" s="2">
        <v>43085</v>
      </c>
      <c r="B413" s="3">
        <f t="shared" si="24"/>
        <v>2017</v>
      </c>
      <c r="C413" s="3">
        <f t="shared" si="25"/>
        <v>12</v>
      </c>
      <c r="D413" s="3">
        <f t="shared" si="26"/>
        <v>16</v>
      </c>
      <c r="E413" s="13">
        <v>25.1</v>
      </c>
      <c r="F413" s="13">
        <v>30.4</v>
      </c>
      <c r="G413" s="13">
        <v>28.5</v>
      </c>
      <c r="H413" s="34">
        <v>27.274999999999999</v>
      </c>
      <c r="I413" s="13">
        <v>30.8</v>
      </c>
      <c r="J413" s="13">
        <v>24.8</v>
      </c>
      <c r="K413" s="79" t="s">
        <v>9</v>
      </c>
      <c r="L413" s="20">
        <v>100</v>
      </c>
      <c r="M413" s="5"/>
      <c r="N413" s="13">
        <v>1009.5583333333333</v>
      </c>
      <c r="O413" s="8">
        <v>94.973653044249801</v>
      </c>
      <c r="P413" s="8">
        <v>73.197836616317076</v>
      </c>
      <c r="Q413" s="8">
        <v>81.24019848403789</v>
      </c>
      <c r="R413" s="8">
        <v>86.096335297213642</v>
      </c>
      <c r="S413" s="20">
        <v>7.2222222222222223</v>
      </c>
      <c r="T413" s="6">
        <v>250</v>
      </c>
      <c r="U413" s="20">
        <v>15</v>
      </c>
      <c r="V413" s="43">
        <v>0</v>
      </c>
    </row>
    <row r="414" spans="1:22" s="53" customFormat="1" x14ac:dyDescent="0.35">
      <c r="A414" s="2">
        <v>43086</v>
      </c>
      <c r="B414" s="3">
        <f t="shared" si="24"/>
        <v>2017</v>
      </c>
      <c r="C414" s="3">
        <f t="shared" si="25"/>
        <v>12</v>
      </c>
      <c r="D414" s="3">
        <f t="shared" si="26"/>
        <v>17</v>
      </c>
      <c r="E414" s="13">
        <v>25</v>
      </c>
      <c r="F414" s="13">
        <v>29</v>
      </c>
      <c r="G414" s="13">
        <v>28.3</v>
      </c>
      <c r="H414" s="34">
        <v>26.824999999999999</v>
      </c>
      <c r="I414" s="13">
        <v>30.4</v>
      </c>
      <c r="J414" s="13">
        <v>25</v>
      </c>
      <c r="K414" s="79">
        <v>0.2</v>
      </c>
      <c r="L414" s="20">
        <v>40</v>
      </c>
      <c r="M414" s="5"/>
      <c r="N414" s="13">
        <v>1009.7083333333334</v>
      </c>
      <c r="O414" s="8">
        <v>90.034882639117242</v>
      </c>
      <c r="P414" s="8">
        <v>74.463046320065615</v>
      </c>
      <c r="Q414" s="8">
        <v>77.591986310496793</v>
      </c>
      <c r="R414" s="8">
        <v>83.031199477199223</v>
      </c>
      <c r="S414" s="20">
        <v>5.25</v>
      </c>
      <c r="T414" s="6">
        <v>280</v>
      </c>
      <c r="U414" s="20">
        <v>14</v>
      </c>
      <c r="V414" s="12">
        <v>0</v>
      </c>
    </row>
    <row r="415" spans="1:22" s="53" customFormat="1" x14ac:dyDescent="0.35">
      <c r="A415" s="2">
        <v>43087</v>
      </c>
      <c r="B415" s="3">
        <f t="shared" si="24"/>
        <v>2017</v>
      </c>
      <c r="C415" s="3">
        <f t="shared" si="25"/>
        <v>12</v>
      </c>
      <c r="D415" s="3">
        <f t="shared" si="26"/>
        <v>18</v>
      </c>
      <c r="E415" s="13">
        <v>25</v>
      </c>
      <c r="F415" s="13">
        <v>30.2</v>
      </c>
      <c r="G415" s="13">
        <v>27.9</v>
      </c>
      <c r="H415" s="34">
        <v>27.024999999999999</v>
      </c>
      <c r="I415" s="13">
        <v>30.4</v>
      </c>
      <c r="J415" s="13">
        <v>24.6</v>
      </c>
      <c r="K415" s="79">
        <v>4.3</v>
      </c>
      <c r="L415" s="20">
        <v>50</v>
      </c>
      <c r="M415" s="5"/>
      <c r="N415" s="13">
        <v>1009.4499999999999</v>
      </c>
      <c r="O415" s="8">
        <v>88.416778993031286</v>
      </c>
      <c r="P415" s="8">
        <v>67.899342999190722</v>
      </c>
      <c r="Q415" s="8">
        <v>79.550820397732707</v>
      </c>
      <c r="R415" s="8">
        <v>81.070930345746504</v>
      </c>
      <c r="S415" s="20">
        <v>6.6521739130434785</v>
      </c>
      <c r="T415" s="6">
        <v>270</v>
      </c>
      <c r="U415" s="20">
        <v>15</v>
      </c>
      <c r="V415" s="43">
        <v>0</v>
      </c>
    </row>
    <row r="416" spans="1:22" s="53" customFormat="1" x14ac:dyDescent="0.35">
      <c r="A416" s="2">
        <v>43088</v>
      </c>
      <c r="B416" s="3">
        <f t="shared" si="24"/>
        <v>2017</v>
      </c>
      <c r="C416" s="3">
        <f t="shared" si="25"/>
        <v>12</v>
      </c>
      <c r="D416" s="3">
        <f t="shared" si="26"/>
        <v>19</v>
      </c>
      <c r="E416" s="13">
        <v>25</v>
      </c>
      <c r="F416" s="13">
        <v>26.8</v>
      </c>
      <c r="G416" s="13">
        <v>28</v>
      </c>
      <c r="H416" s="34">
        <v>26.2</v>
      </c>
      <c r="I416" s="13">
        <v>29.8</v>
      </c>
      <c r="J416" s="13">
        <v>25</v>
      </c>
      <c r="K416" s="79">
        <v>1.8</v>
      </c>
      <c r="L416" s="20">
        <v>25</v>
      </c>
      <c r="M416" s="5"/>
      <c r="N416" s="13" t="e">
        <v>#REF!</v>
      </c>
      <c r="O416" s="8">
        <v>89.225147512705149</v>
      </c>
      <c r="P416" s="8">
        <v>90.435061877045342</v>
      </c>
      <c r="Q416" s="8">
        <v>77.457862570890882</v>
      </c>
      <c r="R416" s="8">
        <v>86.585804868336638</v>
      </c>
      <c r="S416" s="20">
        <v>8.2916666666666661</v>
      </c>
      <c r="T416" s="6">
        <v>260</v>
      </c>
      <c r="U416" s="20">
        <v>18</v>
      </c>
      <c r="V416" s="43">
        <v>0</v>
      </c>
    </row>
    <row r="417" spans="1:22" s="53" customFormat="1" x14ac:dyDescent="0.35">
      <c r="A417" s="2">
        <v>43089</v>
      </c>
      <c r="B417" s="3">
        <f t="shared" si="24"/>
        <v>2017</v>
      </c>
      <c r="C417" s="3">
        <f t="shared" si="25"/>
        <v>12</v>
      </c>
      <c r="D417" s="3">
        <f t="shared" si="26"/>
        <v>20</v>
      </c>
      <c r="E417" s="13">
        <v>25.4</v>
      </c>
      <c r="F417" s="13">
        <v>29.2</v>
      </c>
      <c r="G417" s="13">
        <v>26.8</v>
      </c>
      <c r="H417" s="34">
        <v>26.7</v>
      </c>
      <c r="I417" s="13">
        <v>29.8</v>
      </c>
      <c r="J417" s="13">
        <v>24.8</v>
      </c>
      <c r="K417" s="79">
        <v>10.199999999999999</v>
      </c>
      <c r="L417" s="20">
        <v>0</v>
      </c>
      <c r="M417" s="5"/>
      <c r="N417" s="13">
        <v>1009.5666666666665</v>
      </c>
      <c r="O417" s="8">
        <v>85.349320418443128</v>
      </c>
      <c r="P417" s="8">
        <v>76.624568477181825</v>
      </c>
      <c r="Q417" s="8">
        <v>88.881460190166848</v>
      </c>
      <c r="R417" s="8">
        <v>84.051167376058743</v>
      </c>
      <c r="S417" s="20">
        <v>6</v>
      </c>
      <c r="T417" s="6">
        <v>250</v>
      </c>
      <c r="U417" s="20">
        <v>11</v>
      </c>
      <c r="V417" s="12">
        <v>0</v>
      </c>
    </row>
    <row r="418" spans="1:22" s="53" customFormat="1" x14ac:dyDescent="0.35">
      <c r="A418" s="2">
        <v>43090</v>
      </c>
      <c r="B418" s="3">
        <f t="shared" si="24"/>
        <v>2017</v>
      </c>
      <c r="C418" s="3">
        <f t="shared" si="25"/>
        <v>12</v>
      </c>
      <c r="D418" s="3">
        <f t="shared" si="26"/>
        <v>21</v>
      </c>
      <c r="E418" s="13">
        <v>24.8</v>
      </c>
      <c r="F418" s="13">
        <v>29.2</v>
      </c>
      <c r="G418" s="13">
        <v>28.2</v>
      </c>
      <c r="H418" s="34">
        <v>26.75</v>
      </c>
      <c r="I418" s="13">
        <v>30.2</v>
      </c>
      <c r="J418" s="13">
        <v>23.7</v>
      </c>
      <c r="K418" s="79">
        <v>6.3</v>
      </c>
      <c r="L418" s="20">
        <v>62.5</v>
      </c>
      <c r="M418" s="5"/>
      <c r="N418" s="13">
        <v>1008.2833333333333</v>
      </c>
      <c r="O418" s="8">
        <v>93.277880347220872</v>
      </c>
      <c r="P418" s="8">
        <v>76.628332910678722</v>
      </c>
      <c r="Q418" s="8">
        <v>83.298514909586558</v>
      </c>
      <c r="R418" s="8">
        <v>86.620652128676753</v>
      </c>
      <c r="S418" s="20">
        <v>7.2608695652173916</v>
      </c>
      <c r="T418" s="6">
        <v>290</v>
      </c>
      <c r="U418" s="20">
        <v>15</v>
      </c>
      <c r="V418" s="12">
        <v>0</v>
      </c>
    </row>
    <row r="419" spans="1:22" s="53" customFormat="1" x14ac:dyDescent="0.35">
      <c r="A419" s="2">
        <v>43091</v>
      </c>
      <c r="B419" s="3">
        <f t="shared" si="24"/>
        <v>2017</v>
      </c>
      <c r="C419" s="3">
        <f t="shared" si="25"/>
        <v>12</v>
      </c>
      <c r="D419" s="3">
        <f t="shared" si="26"/>
        <v>22</v>
      </c>
      <c r="E419" s="13">
        <v>24.6</v>
      </c>
      <c r="F419" s="13">
        <v>29.5</v>
      </c>
      <c r="G419" s="13">
        <v>26</v>
      </c>
      <c r="H419" s="34">
        <v>26.175000000000001</v>
      </c>
      <c r="I419" s="13">
        <v>31</v>
      </c>
      <c r="J419" s="13">
        <v>23.4</v>
      </c>
      <c r="K419" s="79">
        <v>1.6</v>
      </c>
      <c r="L419" s="20">
        <v>100</v>
      </c>
      <c r="M419" s="5"/>
      <c r="N419" s="13">
        <v>1007.3833333333333</v>
      </c>
      <c r="O419" s="8">
        <v>91.591021100046618</v>
      </c>
      <c r="P419" s="8">
        <v>73.392244353530657</v>
      </c>
      <c r="Q419" s="8">
        <v>85.558146491763836</v>
      </c>
      <c r="R419" s="8">
        <v>85.533108261346939</v>
      </c>
      <c r="S419" s="20">
        <v>4.9565217391304346</v>
      </c>
      <c r="T419" s="6">
        <v>260</v>
      </c>
      <c r="U419" s="20">
        <v>11</v>
      </c>
      <c r="V419" s="43">
        <v>0</v>
      </c>
    </row>
    <row r="420" spans="1:22" s="53" customFormat="1" x14ac:dyDescent="0.35">
      <c r="A420" s="2">
        <v>43092</v>
      </c>
      <c r="B420" s="3">
        <f t="shared" si="24"/>
        <v>2017</v>
      </c>
      <c r="C420" s="3">
        <f t="shared" si="25"/>
        <v>12</v>
      </c>
      <c r="D420" s="3">
        <f t="shared" si="26"/>
        <v>23</v>
      </c>
      <c r="E420" s="13">
        <v>23.8</v>
      </c>
      <c r="F420" s="13">
        <v>31.8</v>
      </c>
      <c r="G420" s="13">
        <v>29.8</v>
      </c>
      <c r="H420" s="34">
        <v>27.3</v>
      </c>
      <c r="I420" s="13">
        <v>33</v>
      </c>
      <c r="J420" s="13">
        <v>21.6</v>
      </c>
      <c r="K420" s="79" t="s">
        <v>9</v>
      </c>
      <c r="L420" s="20">
        <v>100</v>
      </c>
      <c r="M420" s="5"/>
      <c r="N420" s="13">
        <v>1005.8291666666665</v>
      </c>
      <c r="O420" s="8">
        <v>93.120310190456095</v>
      </c>
      <c r="P420" s="8">
        <v>55.832685386656436</v>
      </c>
      <c r="Q420" s="8">
        <v>72.915371567400854</v>
      </c>
      <c r="R420" s="8">
        <v>78.747169333742363</v>
      </c>
      <c r="S420" s="20">
        <v>5.5263157894736841</v>
      </c>
      <c r="T420" s="6">
        <v>220</v>
      </c>
      <c r="U420" s="20">
        <v>11</v>
      </c>
      <c r="V420" s="43">
        <v>0</v>
      </c>
    </row>
    <row r="421" spans="1:22" s="53" customFormat="1" x14ac:dyDescent="0.35">
      <c r="A421" s="2">
        <v>43093</v>
      </c>
      <c r="B421" s="3">
        <f t="shared" si="24"/>
        <v>2017</v>
      </c>
      <c r="C421" s="3">
        <f t="shared" si="25"/>
        <v>12</v>
      </c>
      <c r="D421" s="3">
        <f t="shared" si="26"/>
        <v>24</v>
      </c>
      <c r="E421" s="13">
        <v>21.6</v>
      </c>
      <c r="F421" s="13">
        <v>31.6</v>
      </c>
      <c r="G421" s="13">
        <v>30</v>
      </c>
      <c r="H421" s="34">
        <v>26.200000000000003</v>
      </c>
      <c r="I421" s="13">
        <v>32.4</v>
      </c>
      <c r="J421" s="13">
        <v>21.6</v>
      </c>
      <c r="K421" s="79" t="s">
        <v>9</v>
      </c>
      <c r="L421" s="20">
        <v>100</v>
      </c>
      <c r="M421" s="5"/>
      <c r="N421" s="13">
        <v>1005.3208333333336</v>
      </c>
      <c r="O421" s="8">
        <v>94.531373046485626</v>
      </c>
      <c r="P421" s="8">
        <v>56.816737750428679</v>
      </c>
      <c r="Q421" s="8">
        <v>74.349453823420461</v>
      </c>
      <c r="R421" s="8">
        <v>80.0572344167051</v>
      </c>
      <c r="S421" s="20">
        <v>5.166666666666667</v>
      </c>
      <c r="T421" s="6">
        <v>180</v>
      </c>
      <c r="U421" s="20">
        <v>10</v>
      </c>
      <c r="V421" s="43">
        <v>0</v>
      </c>
    </row>
    <row r="422" spans="1:22" s="53" customFormat="1" x14ac:dyDescent="0.35">
      <c r="A422" s="2">
        <v>43094</v>
      </c>
      <c r="B422" s="3">
        <f t="shared" si="24"/>
        <v>2017</v>
      </c>
      <c r="C422" s="3">
        <f t="shared" si="25"/>
        <v>12</v>
      </c>
      <c r="D422" s="3">
        <f t="shared" si="26"/>
        <v>25</v>
      </c>
      <c r="E422" s="13">
        <v>23.4</v>
      </c>
      <c r="F422" s="13">
        <v>31.7</v>
      </c>
      <c r="G422" s="13">
        <v>29.5</v>
      </c>
      <c r="H422" s="34">
        <v>27</v>
      </c>
      <c r="I422" s="13">
        <v>32.200000000000003</v>
      </c>
      <c r="J422" s="13">
        <v>23.4</v>
      </c>
      <c r="K422" s="79">
        <v>8888</v>
      </c>
      <c r="L422" s="20">
        <v>100</v>
      </c>
      <c r="M422" s="5"/>
      <c r="N422" s="13" t="b">
        <v>0</v>
      </c>
      <c r="O422" s="8">
        <v>87.977630344850979</v>
      </c>
      <c r="P422" s="8">
        <v>56.32957590283867</v>
      </c>
      <c r="Q422" s="8">
        <v>73.420764441096196</v>
      </c>
      <c r="R422" s="8">
        <v>76.426400258409203</v>
      </c>
      <c r="S422" s="20">
        <v>6.0454545454545459</v>
      </c>
      <c r="T422" s="6">
        <v>320</v>
      </c>
      <c r="U422" s="20">
        <v>11</v>
      </c>
      <c r="V422" s="43">
        <v>0</v>
      </c>
    </row>
    <row r="423" spans="1:22" s="53" customFormat="1" x14ac:dyDescent="0.35">
      <c r="A423" s="2">
        <v>43095</v>
      </c>
      <c r="B423" s="3">
        <f t="shared" si="24"/>
        <v>2017</v>
      </c>
      <c r="C423" s="3">
        <f t="shared" si="25"/>
        <v>12</v>
      </c>
      <c r="D423" s="3">
        <f t="shared" si="26"/>
        <v>26</v>
      </c>
      <c r="E423" s="13">
        <v>26.2</v>
      </c>
      <c r="F423" s="13">
        <v>29.3</v>
      </c>
      <c r="G423" s="13">
        <v>28.4</v>
      </c>
      <c r="H423" s="34">
        <v>27.524999999999999</v>
      </c>
      <c r="I423" s="13">
        <v>30.3</v>
      </c>
      <c r="J423" s="13">
        <v>26.2</v>
      </c>
      <c r="K423" s="79">
        <v>1.8</v>
      </c>
      <c r="L423" s="20">
        <v>100</v>
      </c>
      <c r="M423" s="5"/>
      <c r="N423" s="13">
        <v>1006.9208333333335</v>
      </c>
      <c r="O423" s="8">
        <v>87.176906735276646</v>
      </c>
      <c r="P423" s="8">
        <v>75.32616638482466</v>
      </c>
      <c r="Q423" s="8">
        <v>76.256908739512099</v>
      </c>
      <c r="R423" s="8">
        <v>81.484222148722509</v>
      </c>
      <c r="S423" s="20">
        <v>7.625</v>
      </c>
      <c r="T423" s="6">
        <v>270</v>
      </c>
      <c r="U423" s="20">
        <v>18</v>
      </c>
      <c r="V423" s="12">
        <v>0</v>
      </c>
    </row>
    <row r="424" spans="1:22" s="53" customFormat="1" x14ac:dyDescent="0.35">
      <c r="A424" s="2">
        <v>43096</v>
      </c>
      <c r="B424" s="3">
        <f t="shared" si="24"/>
        <v>2017</v>
      </c>
      <c r="C424" s="3">
        <f t="shared" si="25"/>
        <v>12</v>
      </c>
      <c r="D424" s="3">
        <f t="shared" si="26"/>
        <v>27</v>
      </c>
      <c r="E424" s="13">
        <v>27.6</v>
      </c>
      <c r="F424" s="13">
        <v>29.4</v>
      </c>
      <c r="G424" s="13">
        <v>28.4</v>
      </c>
      <c r="H424" s="34">
        <v>28.25</v>
      </c>
      <c r="I424" s="13">
        <v>30</v>
      </c>
      <c r="J424" s="13">
        <v>23</v>
      </c>
      <c r="K424" s="79">
        <v>9.4</v>
      </c>
      <c r="L424" s="20">
        <v>7.5</v>
      </c>
      <c r="M424" s="5"/>
      <c r="N424" s="13">
        <v>1007.8208333333337</v>
      </c>
      <c r="O424" s="8">
        <v>84.55954652742183</v>
      </c>
      <c r="P424" s="8">
        <v>78.797831998323261</v>
      </c>
      <c r="Q424" s="8">
        <v>77.654747573579996</v>
      </c>
      <c r="R424" s="8">
        <v>81.392918156686733</v>
      </c>
      <c r="S424" s="20">
        <v>7.041666666666667</v>
      </c>
      <c r="T424" s="6">
        <v>280</v>
      </c>
      <c r="U424" s="20">
        <v>14</v>
      </c>
      <c r="V424" s="12">
        <v>0</v>
      </c>
    </row>
    <row r="425" spans="1:22" s="53" customFormat="1" x14ac:dyDescent="0.35">
      <c r="A425" s="2">
        <v>43097</v>
      </c>
      <c r="B425" s="3">
        <f t="shared" si="24"/>
        <v>2017</v>
      </c>
      <c r="C425" s="3">
        <f t="shared" si="25"/>
        <v>12</v>
      </c>
      <c r="D425" s="3">
        <f t="shared" si="26"/>
        <v>28</v>
      </c>
      <c r="E425" s="13">
        <v>23.6</v>
      </c>
      <c r="F425" s="13">
        <v>29.6</v>
      </c>
      <c r="G425" s="13">
        <v>28.2</v>
      </c>
      <c r="H425" s="34">
        <v>26.250000000000004</v>
      </c>
      <c r="I425" s="13">
        <v>30</v>
      </c>
      <c r="J425" s="13">
        <v>23.6</v>
      </c>
      <c r="K425" s="18" t="s">
        <v>9</v>
      </c>
      <c r="L425" s="20">
        <v>22.5</v>
      </c>
      <c r="M425" s="5"/>
      <c r="N425" s="13">
        <v>1007.9166666666666</v>
      </c>
      <c r="O425" s="8">
        <v>96.51666589850106</v>
      </c>
      <c r="P425" s="8">
        <v>74.118869173574069</v>
      </c>
      <c r="Q425" s="8">
        <v>81.848825145817045</v>
      </c>
      <c r="R425" s="8">
        <v>87.250256529098309</v>
      </c>
      <c r="S425" s="20">
        <v>6.2105263157894735</v>
      </c>
      <c r="T425" s="6">
        <v>290</v>
      </c>
      <c r="U425" s="20">
        <v>15</v>
      </c>
      <c r="V425" s="12">
        <v>0</v>
      </c>
    </row>
    <row r="426" spans="1:22" s="53" customFormat="1" x14ac:dyDescent="0.35">
      <c r="A426" s="2">
        <v>43098</v>
      </c>
      <c r="B426" s="3">
        <f t="shared" si="24"/>
        <v>2017</v>
      </c>
      <c r="C426" s="3">
        <f t="shared" si="25"/>
        <v>12</v>
      </c>
      <c r="D426" s="3">
        <f t="shared" si="26"/>
        <v>29</v>
      </c>
      <c r="E426" s="13">
        <v>24.8</v>
      </c>
      <c r="F426" s="13">
        <v>29.8</v>
      </c>
      <c r="G426" s="13">
        <v>28.6</v>
      </c>
      <c r="H426" s="34">
        <v>27</v>
      </c>
      <c r="I426" s="13">
        <v>30.4</v>
      </c>
      <c r="J426" s="13">
        <v>24.8</v>
      </c>
      <c r="K426" s="79" t="s">
        <v>9</v>
      </c>
      <c r="L426" s="20">
        <v>22.5</v>
      </c>
      <c r="M426" s="5"/>
      <c r="N426" s="13">
        <v>1008.2958333333335</v>
      </c>
      <c r="O426" s="8">
        <v>94.941537747253221</v>
      </c>
      <c r="P426" s="8">
        <v>71.559390234332128</v>
      </c>
      <c r="Q426" s="8">
        <v>82.001907190720175</v>
      </c>
      <c r="R426" s="8">
        <v>85.86109322988969</v>
      </c>
      <c r="S426" s="20">
        <v>4.666666666666667</v>
      </c>
      <c r="T426" s="6">
        <v>290</v>
      </c>
      <c r="U426" s="20">
        <v>12</v>
      </c>
      <c r="V426" s="12">
        <v>0</v>
      </c>
    </row>
    <row r="427" spans="1:22" s="53" customFormat="1" x14ac:dyDescent="0.35">
      <c r="A427" s="2">
        <v>43099</v>
      </c>
      <c r="B427" s="3">
        <f t="shared" si="24"/>
        <v>2017</v>
      </c>
      <c r="C427" s="3">
        <f t="shared" si="25"/>
        <v>12</v>
      </c>
      <c r="D427" s="3">
        <f t="shared" si="26"/>
        <v>30</v>
      </c>
      <c r="E427" s="13">
        <v>25.2</v>
      </c>
      <c r="F427" s="13">
        <v>30.4</v>
      </c>
      <c r="G427" s="13">
        <v>26</v>
      </c>
      <c r="H427" s="34">
        <v>26.7</v>
      </c>
      <c r="I427" s="13">
        <v>32</v>
      </c>
      <c r="J427" s="13">
        <v>23.6</v>
      </c>
      <c r="K427" s="79">
        <v>15.5</v>
      </c>
      <c r="L427" s="20">
        <v>25</v>
      </c>
      <c r="M427" s="5"/>
      <c r="N427" s="13">
        <v>1008.1041666666666</v>
      </c>
      <c r="O427" s="8">
        <v>97.480264786666865</v>
      </c>
      <c r="P427" s="8">
        <v>70.607765027204834</v>
      </c>
      <c r="Q427" s="8">
        <v>93.46333260846248</v>
      </c>
      <c r="R427" s="8">
        <v>89.757906802250261</v>
      </c>
      <c r="S427" s="20">
        <v>4.1428571428571432</v>
      </c>
      <c r="T427" s="6">
        <v>230</v>
      </c>
      <c r="U427" s="20">
        <v>7</v>
      </c>
      <c r="V427" s="12">
        <v>0</v>
      </c>
    </row>
    <row r="428" spans="1:22" s="53" customFormat="1" x14ac:dyDescent="0.35">
      <c r="A428" s="2">
        <v>43100</v>
      </c>
      <c r="B428" s="3">
        <f t="shared" si="24"/>
        <v>2017</v>
      </c>
      <c r="C428" s="3">
        <f t="shared" si="25"/>
        <v>12</v>
      </c>
      <c r="D428" s="3">
        <f t="shared" si="26"/>
        <v>31</v>
      </c>
      <c r="E428" s="13">
        <v>24.2</v>
      </c>
      <c r="F428" s="13">
        <v>32</v>
      </c>
      <c r="G428" s="13">
        <v>26.1</v>
      </c>
      <c r="H428" s="34">
        <v>26.625</v>
      </c>
      <c r="I428" s="13">
        <v>32.200000000000003</v>
      </c>
      <c r="J428" s="13" t="e">
        <v>#REF!</v>
      </c>
      <c r="K428" s="79" t="s">
        <v>9</v>
      </c>
      <c r="L428" s="20">
        <v>0</v>
      </c>
      <c r="M428" s="5"/>
      <c r="N428" s="13">
        <v>809.16086956521724</v>
      </c>
      <c r="O428" s="8">
        <v>96.56841499428532</v>
      </c>
      <c r="P428" s="8">
        <v>62.374077565986084</v>
      </c>
      <c r="Q428" s="8">
        <v>86.375845662531347</v>
      </c>
      <c r="R428" s="8">
        <v>85.471688304272021</v>
      </c>
      <c r="S428" s="20">
        <v>4.7692307692307692</v>
      </c>
      <c r="T428" s="6" t="e">
        <v>#N/A</v>
      </c>
      <c r="U428" s="20">
        <v>9</v>
      </c>
      <c r="V428" s="12">
        <v>0</v>
      </c>
    </row>
    <row r="429" spans="1:22" s="53" customFormat="1" x14ac:dyDescent="0.35">
      <c r="A429" s="2">
        <v>43101</v>
      </c>
      <c r="B429" s="3">
        <f t="shared" si="24"/>
        <v>2018</v>
      </c>
      <c r="C429" s="3">
        <f t="shared" si="25"/>
        <v>1</v>
      </c>
      <c r="D429" s="3">
        <f t="shared" si="26"/>
        <v>1</v>
      </c>
      <c r="E429" s="59">
        <v>26</v>
      </c>
      <c r="F429" s="59">
        <v>26.6</v>
      </c>
      <c r="G429" s="59">
        <v>27.5</v>
      </c>
      <c r="H429" s="34">
        <v>26.524999999999999</v>
      </c>
      <c r="I429" s="60">
        <v>28.2</v>
      </c>
      <c r="J429" s="60">
        <v>25.3</v>
      </c>
      <c r="K429" s="61">
        <v>0</v>
      </c>
      <c r="L429" s="61">
        <v>0</v>
      </c>
      <c r="M429" s="62"/>
      <c r="N429" s="63">
        <v>1006.2125000000001</v>
      </c>
      <c r="O429" s="57">
        <v>100</v>
      </c>
      <c r="P429" s="57">
        <v>91.182594768438733</v>
      </c>
      <c r="Q429" s="57">
        <v>84.542644035045384</v>
      </c>
      <c r="R429" s="8">
        <v>93.931309700871026</v>
      </c>
      <c r="S429" s="64" t="e">
        <v>#N/A</v>
      </c>
      <c r="T429" s="65">
        <v>260</v>
      </c>
      <c r="U429" s="64" t="e">
        <v>#N/A</v>
      </c>
      <c r="V429" s="66">
        <v>0</v>
      </c>
    </row>
    <row r="430" spans="1:22" s="53" customFormat="1" x14ac:dyDescent="0.35">
      <c r="A430" s="2">
        <v>43102</v>
      </c>
      <c r="B430" s="3">
        <f t="shared" si="24"/>
        <v>2018</v>
      </c>
      <c r="C430" s="3">
        <f t="shared" si="25"/>
        <v>1</v>
      </c>
      <c r="D430" s="3">
        <f t="shared" si="26"/>
        <v>2</v>
      </c>
      <c r="E430" s="59">
        <v>25.9</v>
      </c>
      <c r="F430" s="59">
        <v>31</v>
      </c>
      <c r="G430" s="59">
        <v>29.6</v>
      </c>
      <c r="H430" s="34">
        <v>28.1</v>
      </c>
      <c r="I430" s="60">
        <v>31.8</v>
      </c>
      <c r="J430" s="60">
        <v>25.4</v>
      </c>
      <c r="K430" s="61" t="s">
        <v>9</v>
      </c>
      <c r="L430" s="61">
        <v>68.75</v>
      </c>
      <c r="M430" s="62"/>
      <c r="N430" s="63">
        <v>1006.7208333333336</v>
      </c>
      <c r="O430" s="57">
        <v>95.07122519320518</v>
      </c>
      <c r="P430" s="57">
        <v>69.696025724544569</v>
      </c>
      <c r="Q430" s="57">
        <v>74.139561701926695</v>
      </c>
      <c r="R430" s="8">
        <v>83.494509453220417</v>
      </c>
      <c r="S430" s="64">
        <v>4.8947368421052628</v>
      </c>
      <c r="T430" s="65">
        <v>290</v>
      </c>
      <c r="U430" s="64">
        <v>10</v>
      </c>
      <c r="V430" s="66">
        <v>0</v>
      </c>
    </row>
    <row r="431" spans="1:22" s="53" customFormat="1" x14ac:dyDescent="0.35">
      <c r="A431" s="2">
        <v>43103</v>
      </c>
      <c r="B431" s="3">
        <f t="shared" si="24"/>
        <v>2018</v>
      </c>
      <c r="C431" s="3">
        <f t="shared" si="25"/>
        <v>1</v>
      </c>
      <c r="D431" s="3">
        <f t="shared" si="26"/>
        <v>3</v>
      </c>
      <c r="E431" s="59">
        <v>25.4</v>
      </c>
      <c r="F431" s="59">
        <v>31.6</v>
      </c>
      <c r="G431" s="59">
        <v>29.8</v>
      </c>
      <c r="H431" s="34">
        <v>28.05</v>
      </c>
      <c r="I431" s="60">
        <v>32</v>
      </c>
      <c r="J431" s="60">
        <v>24.6</v>
      </c>
      <c r="K431" s="61" t="s">
        <v>9</v>
      </c>
      <c r="L431" s="61">
        <v>100</v>
      </c>
      <c r="M431" s="62"/>
      <c r="N431" s="63">
        <v>1007.2708333333334</v>
      </c>
      <c r="O431" s="57">
        <v>83.791882512494013</v>
      </c>
      <c r="P431" s="57">
        <v>66.327306832968745</v>
      </c>
      <c r="Q431" s="57">
        <v>79.66983320381371</v>
      </c>
      <c r="R431" s="8">
        <v>78.395226265442616</v>
      </c>
      <c r="S431" s="64">
        <v>4.916666666666667</v>
      </c>
      <c r="T431" s="65">
        <v>180</v>
      </c>
      <c r="U431" s="64">
        <v>10</v>
      </c>
      <c r="V431" s="66">
        <v>0</v>
      </c>
    </row>
    <row r="432" spans="1:22" s="53" customFormat="1" x14ac:dyDescent="0.35">
      <c r="A432" s="2">
        <v>43104</v>
      </c>
      <c r="B432" s="3">
        <f t="shared" si="24"/>
        <v>2018</v>
      </c>
      <c r="C432" s="3">
        <f t="shared" si="25"/>
        <v>1</v>
      </c>
      <c r="D432" s="3">
        <f t="shared" si="26"/>
        <v>4</v>
      </c>
      <c r="E432" s="59">
        <v>25.4</v>
      </c>
      <c r="F432" s="59">
        <v>31.6</v>
      </c>
      <c r="G432" s="59">
        <v>29.4</v>
      </c>
      <c r="H432" s="34">
        <v>27.950000000000003</v>
      </c>
      <c r="I432" s="60">
        <v>32</v>
      </c>
      <c r="J432" s="60">
        <v>24.2</v>
      </c>
      <c r="K432" s="61" t="s">
        <v>9</v>
      </c>
      <c r="L432" s="61">
        <v>100</v>
      </c>
      <c r="M432" s="62"/>
      <c r="N432" s="63">
        <v>1007.1000000000003</v>
      </c>
      <c r="O432" s="57">
        <v>92.559583952332787</v>
      </c>
      <c r="P432" s="57">
        <v>67.555629170998415</v>
      </c>
      <c r="Q432" s="57">
        <v>82.306081156725284</v>
      </c>
      <c r="R432" s="8">
        <v>83.745219558097318</v>
      </c>
      <c r="S432" s="64">
        <v>5</v>
      </c>
      <c r="T432" s="65">
        <v>300</v>
      </c>
      <c r="U432" s="64">
        <v>14</v>
      </c>
      <c r="V432" s="66">
        <v>0</v>
      </c>
    </row>
    <row r="433" spans="1:22" s="53" customFormat="1" x14ac:dyDescent="0.35">
      <c r="A433" s="2">
        <v>43105</v>
      </c>
      <c r="B433" s="3">
        <f t="shared" si="24"/>
        <v>2018</v>
      </c>
      <c r="C433" s="3">
        <f t="shared" si="25"/>
        <v>1</v>
      </c>
      <c r="D433" s="3">
        <f t="shared" si="26"/>
        <v>5</v>
      </c>
      <c r="E433" s="59">
        <v>25.2</v>
      </c>
      <c r="F433" s="59">
        <v>32.4</v>
      </c>
      <c r="G433" s="59">
        <v>29.8</v>
      </c>
      <c r="H433" s="34">
        <v>28.15</v>
      </c>
      <c r="I433" s="60">
        <v>32.799999999999997</v>
      </c>
      <c r="J433" s="60">
        <v>25.2</v>
      </c>
      <c r="K433" s="61" t="s">
        <v>9</v>
      </c>
      <c r="L433" s="61">
        <v>100</v>
      </c>
      <c r="M433" s="62"/>
      <c r="N433" s="63">
        <v>1007.5791666666668</v>
      </c>
      <c r="O433" s="57">
        <v>79.054690268195188</v>
      </c>
      <c r="P433" s="57">
        <v>54.080787271829479</v>
      </c>
      <c r="Q433" s="57">
        <v>67.021319767189325</v>
      </c>
      <c r="R433" s="8">
        <v>69.802871893852299</v>
      </c>
      <c r="S433" s="64">
        <v>3.5789473684210527</v>
      </c>
      <c r="T433" s="65">
        <v>270</v>
      </c>
      <c r="U433" s="64">
        <v>8</v>
      </c>
      <c r="V433" s="66">
        <v>0</v>
      </c>
    </row>
    <row r="434" spans="1:22" s="53" customFormat="1" x14ac:dyDescent="0.35">
      <c r="A434" s="2">
        <v>43106</v>
      </c>
      <c r="B434" s="3">
        <f t="shared" si="24"/>
        <v>2018</v>
      </c>
      <c r="C434" s="3">
        <f t="shared" si="25"/>
        <v>1</v>
      </c>
      <c r="D434" s="3">
        <f t="shared" si="26"/>
        <v>6</v>
      </c>
      <c r="E434" s="59">
        <v>26.4</v>
      </c>
      <c r="F434" s="59">
        <v>31.3</v>
      </c>
      <c r="G434" s="59">
        <v>29.8</v>
      </c>
      <c r="H434" s="34">
        <v>28.474999999999998</v>
      </c>
      <c r="I434" s="60">
        <v>32.1</v>
      </c>
      <c r="J434" s="60">
        <v>25</v>
      </c>
      <c r="K434" s="61">
        <v>5</v>
      </c>
      <c r="L434" s="61">
        <v>85</v>
      </c>
      <c r="M434" s="62"/>
      <c r="N434" s="63">
        <v>1008.2541666666666</v>
      </c>
      <c r="O434" s="57">
        <v>91.932044871486724</v>
      </c>
      <c r="P434" s="57">
        <v>65.508652977285692</v>
      </c>
      <c r="Q434" s="57">
        <v>78.293623758294046</v>
      </c>
      <c r="R434" s="8">
        <v>81.916591619638297</v>
      </c>
      <c r="S434" s="64">
        <v>3.9545454545454546</v>
      </c>
      <c r="T434" s="65">
        <v>50</v>
      </c>
      <c r="U434" s="64">
        <v>8</v>
      </c>
      <c r="V434" s="66">
        <v>0</v>
      </c>
    </row>
    <row r="435" spans="1:22" s="53" customFormat="1" x14ac:dyDescent="0.35">
      <c r="A435" s="2">
        <v>43107</v>
      </c>
      <c r="B435" s="3">
        <f t="shared" si="24"/>
        <v>2018</v>
      </c>
      <c r="C435" s="3">
        <f t="shared" si="25"/>
        <v>1</v>
      </c>
      <c r="D435" s="3">
        <f t="shared" si="26"/>
        <v>7</v>
      </c>
      <c r="E435" s="59">
        <v>26</v>
      </c>
      <c r="F435" s="59">
        <v>32</v>
      </c>
      <c r="G435" s="59">
        <v>29.8</v>
      </c>
      <c r="H435" s="34">
        <v>28.45</v>
      </c>
      <c r="I435" s="60">
        <v>32.5</v>
      </c>
      <c r="J435" s="60">
        <v>23.4</v>
      </c>
      <c r="K435" s="61">
        <v>6.6</v>
      </c>
      <c r="L435" s="61">
        <v>87.5</v>
      </c>
      <c r="M435" s="62"/>
      <c r="N435" s="63">
        <v>1008.9916666666664</v>
      </c>
      <c r="O435" s="57">
        <v>96.706684066173011</v>
      </c>
      <c r="P435" s="57">
        <v>67.791192692405986</v>
      </c>
      <c r="Q435" s="57">
        <v>74.228686305129798</v>
      </c>
      <c r="R435" s="8">
        <v>83.858311782470452</v>
      </c>
      <c r="S435" s="64">
        <v>4.5714285714285712</v>
      </c>
      <c r="T435" s="65">
        <v>220</v>
      </c>
      <c r="U435" s="64">
        <v>9</v>
      </c>
      <c r="V435" s="66">
        <v>0</v>
      </c>
    </row>
    <row r="436" spans="1:22" s="53" customFormat="1" x14ac:dyDescent="0.35">
      <c r="A436" s="2">
        <v>43108</v>
      </c>
      <c r="B436" s="3">
        <f t="shared" si="24"/>
        <v>2018</v>
      </c>
      <c r="C436" s="3">
        <f t="shared" si="25"/>
        <v>1</v>
      </c>
      <c r="D436" s="3">
        <f t="shared" si="26"/>
        <v>8</v>
      </c>
      <c r="E436" s="59">
        <v>26</v>
      </c>
      <c r="F436" s="59">
        <v>30.2</v>
      </c>
      <c r="G436" s="59">
        <v>29</v>
      </c>
      <c r="H436" s="34">
        <v>27.8</v>
      </c>
      <c r="I436" s="60">
        <v>31.1</v>
      </c>
      <c r="J436" s="60">
        <v>23</v>
      </c>
      <c r="K436" s="61">
        <v>17.5</v>
      </c>
      <c r="L436" s="61">
        <v>52.5</v>
      </c>
      <c r="M436" s="62"/>
      <c r="N436" s="63">
        <v>1009.6083333333331</v>
      </c>
      <c r="O436" s="57">
        <v>91.852925651564817</v>
      </c>
      <c r="P436" s="57">
        <v>74.421464052591105</v>
      </c>
      <c r="Q436" s="57">
        <v>82.148959692002848</v>
      </c>
      <c r="R436" s="8">
        <v>85.069068761930893</v>
      </c>
      <c r="S436" s="64">
        <v>4.7368421052631575</v>
      </c>
      <c r="T436" s="65">
        <v>290</v>
      </c>
      <c r="U436" s="64">
        <v>12</v>
      </c>
      <c r="V436" s="66">
        <v>0</v>
      </c>
    </row>
    <row r="437" spans="1:22" s="53" customFormat="1" x14ac:dyDescent="0.35">
      <c r="A437" s="2">
        <v>43109</v>
      </c>
      <c r="B437" s="3">
        <f t="shared" si="24"/>
        <v>2018</v>
      </c>
      <c r="C437" s="3">
        <f t="shared" si="25"/>
        <v>1</v>
      </c>
      <c r="D437" s="3">
        <f t="shared" si="26"/>
        <v>9</v>
      </c>
      <c r="E437" s="59">
        <v>25.6</v>
      </c>
      <c r="F437" s="59">
        <v>31.6</v>
      </c>
      <c r="G437" s="59">
        <v>25.8</v>
      </c>
      <c r="H437" s="34">
        <v>27.150000000000002</v>
      </c>
      <c r="I437" s="60">
        <v>32.200000000000003</v>
      </c>
      <c r="J437" s="60">
        <v>24.9</v>
      </c>
      <c r="K437" s="61">
        <v>51.5</v>
      </c>
      <c r="L437" s="61">
        <v>87.5</v>
      </c>
      <c r="M437" s="62"/>
      <c r="N437" s="63">
        <v>1009.8041666666664</v>
      </c>
      <c r="O437" s="57">
        <v>95.031285096133928</v>
      </c>
      <c r="P437" s="57">
        <v>63.871348934306617</v>
      </c>
      <c r="Q437" s="57">
        <v>98.340284313202559</v>
      </c>
      <c r="R437" s="8">
        <v>88.068550859944253</v>
      </c>
      <c r="S437" s="64">
        <v>3.8823529411764706</v>
      </c>
      <c r="T437" s="65">
        <v>220</v>
      </c>
      <c r="U437" s="64">
        <v>9</v>
      </c>
      <c r="V437" s="66">
        <v>0</v>
      </c>
    </row>
    <row r="438" spans="1:22" s="53" customFormat="1" x14ac:dyDescent="0.35">
      <c r="A438" s="2">
        <v>43110</v>
      </c>
      <c r="B438" s="3">
        <f t="shared" si="24"/>
        <v>2018</v>
      </c>
      <c r="C438" s="3">
        <f t="shared" si="25"/>
        <v>1</v>
      </c>
      <c r="D438" s="3">
        <f t="shared" si="26"/>
        <v>10</v>
      </c>
      <c r="E438" s="59">
        <v>25.4</v>
      </c>
      <c r="F438" s="59">
        <v>30</v>
      </c>
      <c r="G438" s="59">
        <v>24.4</v>
      </c>
      <c r="H438" s="34">
        <v>26.299999999999997</v>
      </c>
      <c r="I438" s="60">
        <v>31.8</v>
      </c>
      <c r="J438" s="60">
        <v>23.8</v>
      </c>
      <c r="K438" s="61">
        <v>2.8</v>
      </c>
      <c r="L438" s="61">
        <v>66.25</v>
      </c>
      <c r="M438" s="62"/>
      <c r="N438" s="63">
        <v>1010.3541666666665</v>
      </c>
      <c r="O438" s="57">
        <v>95.008685174185288</v>
      </c>
      <c r="P438" s="57">
        <v>71.665401646409279</v>
      </c>
      <c r="Q438" s="57">
        <v>94.051151587211351</v>
      </c>
      <c r="R438" s="8">
        <v>88.933480895497794</v>
      </c>
      <c r="S438" s="64">
        <v>4.791666666666667</v>
      </c>
      <c r="T438" s="65">
        <v>210</v>
      </c>
      <c r="U438" s="64">
        <v>16</v>
      </c>
      <c r="V438" s="66">
        <v>0</v>
      </c>
    </row>
    <row r="439" spans="1:22" s="53" customFormat="1" x14ac:dyDescent="0.35">
      <c r="A439" s="2">
        <v>43111</v>
      </c>
      <c r="B439" s="3">
        <f t="shared" si="24"/>
        <v>2018</v>
      </c>
      <c r="C439" s="3">
        <f t="shared" si="25"/>
        <v>1</v>
      </c>
      <c r="D439" s="3">
        <f t="shared" si="26"/>
        <v>11</v>
      </c>
      <c r="E439" s="59">
        <v>25.2</v>
      </c>
      <c r="F439" s="59">
        <v>31</v>
      </c>
      <c r="G439" s="59">
        <v>24.4</v>
      </c>
      <c r="H439" s="34">
        <v>26.450000000000003</v>
      </c>
      <c r="I439" s="60">
        <v>31.4</v>
      </c>
      <c r="J439" s="60">
        <v>24.2</v>
      </c>
      <c r="K439" s="61">
        <v>10.9</v>
      </c>
      <c r="L439" s="61">
        <v>12.5</v>
      </c>
      <c r="M439" s="62"/>
      <c r="N439" s="63">
        <v>1010.4708333333333</v>
      </c>
      <c r="O439" s="57">
        <v>93.339222015572759</v>
      </c>
      <c r="P439" s="57">
        <v>65.902499202173232</v>
      </c>
      <c r="Q439" s="57">
        <v>94.050787658717056</v>
      </c>
      <c r="R439" s="8">
        <v>86.657932723008955</v>
      </c>
      <c r="S439" s="64">
        <v>4</v>
      </c>
      <c r="T439" s="65">
        <v>230</v>
      </c>
      <c r="U439" s="64">
        <v>10</v>
      </c>
      <c r="V439" s="66">
        <v>0</v>
      </c>
    </row>
    <row r="440" spans="1:22" s="53" customFormat="1" x14ac:dyDescent="0.35">
      <c r="A440" s="2">
        <v>43112</v>
      </c>
      <c r="B440" s="3">
        <f t="shared" si="24"/>
        <v>2018</v>
      </c>
      <c r="C440" s="3">
        <f t="shared" si="25"/>
        <v>1</v>
      </c>
      <c r="D440" s="3">
        <f t="shared" si="26"/>
        <v>12</v>
      </c>
      <c r="E440" s="59">
        <v>25</v>
      </c>
      <c r="F440" s="59">
        <v>29</v>
      </c>
      <c r="G440" s="59">
        <v>28.6</v>
      </c>
      <c r="H440" s="34">
        <v>26.9</v>
      </c>
      <c r="I440" s="60">
        <v>30.1</v>
      </c>
      <c r="J440" s="60">
        <v>24.3</v>
      </c>
      <c r="K440" s="61">
        <v>12.799999999999999</v>
      </c>
      <c r="L440" s="61">
        <v>13.750000000000002</v>
      </c>
      <c r="M440" s="62"/>
      <c r="N440" s="63">
        <v>1009.9666666666667</v>
      </c>
      <c r="O440" s="57">
        <v>91.663269833047266</v>
      </c>
      <c r="P440" s="57">
        <v>77.218702502917807</v>
      </c>
      <c r="Q440" s="57">
        <v>81.99557400314842</v>
      </c>
      <c r="R440" s="8">
        <v>85.63520404304019</v>
      </c>
      <c r="S440" s="64">
        <v>3.5</v>
      </c>
      <c r="T440" s="65">
        <v>300</v>
      </c>
      <c r="U440" s="64">
        <v>6</v>
      </c>
      <c r="V440" s="66">
        <v>0</v>
      </c>
    </row>
    <row r="441" spans="1:22" s="53" customFormat="1" x14ac:dyDescent="0.35">
      <c r="A441" s="2">
        <v>43113</v>
      </c>
      <c r="B441" s="3">
        <f t="shared" si="24"/>
        <v>2018</v>
      </c>
      <c r="C441" s="3">
        <f t="shared" si="25"/>
        <v>1</v>
      </c>
      <c r="D441" s="3">
        <f t="shared" si="26"/>
        <v>13</v>
      </c>
      <c r="E441" s="59">
        <v>24.7</v>
      </c>
      <c r="F441" s="59">
        <v>30.6</v>
      </c>
      <c r="G441" s="59">
        <v>29</v>
      </c>
      <c r="H441" s="34">
        <v>27.25</v>
      </c>
      <c r="I441" s="60">
        <v>31.2</v>
      </c>
      <c r="J441" s="60">
        <v>24.7</v>
      </c>
      <c r="K441" s="61" t="s">
        <v>9</v>
      </c>
      <c r="L441" s="61">
        <v>87.5</v>
      </c>
      <c r="M441" s="62"/>
      <c r="N441" s="63">
        <v>1009.6374999999999</v>
      </c>
      <c r="O441" s="57">
        <v>96.606019931820214</v>
      </c>
      <c r="P441" s="57">
        <v>72.005158318238372</v>
      </c>
      <c r="Q441" s="57">
        <v>80.021178406758708</v>
      </c>
      <c r="R441" s="8">
        <v>86.309594147159373</v>
      </c>
      <c r="S441" s="64">
        <v>4.882352941176471</v>
      </c>
      <c r="T441" s="65">
        <v>280</v>
      </c>
      <c r="U441" s="64">
        <v>10</v>
      </c>
      <c r="V441" s="66">
        <v>0</v>
      </c>
    </row>
    <row r="442" spans="1:22" s="53" customFormat="1" x14ac:dyDescent="0.35">
      <c r="A442" s="2">
        <v>43114</v>
      </c>
      <c r="B442" s="3">
        <f t="shared" ref="B442:B505" si="27">YEAR(A442)</f>
        <v>2018</v>
      </c>
      <c r="C442" s="3">
        <f t="shared" ref="C442:C505" si="28">MONTH(A442)</f>
        <v>1</v>
      </c>
      <c r="D442" s="3">
        <f t="shared" ref="D442:D505" si="29">DAY(A442)</f>
        <v>14</v>
      </c>
      <c r="E442" s="59">
        <v>27</v>
      </c>
      <c r="F442" s="59">
        <v>33.799999999999997</v>
      </c>
      <c r="G442" s="59">
        <v>30.8</v>
      </c>
      <c r="H442" s="34">
        <v>29.65</v>
      </c>
      <c r="I442" s="60">
        <v>34</v>
      </c>
      <c r="J442" s="60">
        <v>26.6</v>
      </c>
      <c r="K442" s="61" t="s">
        <v>9</v>
      </c>
      <c r="L442" s="61">
        <v>68.75</v>
      </c>
      <c r="M442" s="62"/>
      <c r="N442" s="63">
        <v>1008.0924999999999</v>
      </c>
      <c r="O442" s="57">
        <v>69.812682090533215</v>
      </c>
      <c r="P442" s="57">
        <v>55.261548404114258</v>
      </c>
      <c r="Q442" s="57">
        <v>62.106133421728785</v>
      </c>
      <c r="R442" s="8">
        <v>64.24826150172737</v>
      </c>
      <c r="S442" s="64" t="e">
        <v>#N/A</v>
      </c>
      <c r="T442" s="65" t="e">
        <v>#N/A</v>
      </c>
      <c r="U442" s="64" t="e">
        <v>#N/A</v>
      </c>
      <c r="V442" s="66">
        <v>0</v>
      </c>
    </row>
    <row r="443" spans="1:22" s="53" customFormat="1" x14ac:dyDescent="0.35">
      <c r="A443" s="2">
        <v>43115</v>
      </c>
      <c r="B443" s="3">
        <f t="shared" si="27"/>
        <v>2018</v>
      </c>
      <c r="C443" s="3">
        <f t="shared" si="28"/>
        <v>1</v>
      </c>
      <c r="D443" s="3">
        <f t="shared" si="29"/>
        <v>15</v>
      </c>
      <c r="E443" s="59">
        <v>26.8</v>
      </c>
      <c r="F443" s="59">
        <v>33.4</v>
      </c>
      <c r="G443" s="59">
        <v>30.6</v>
      </c>
      <c r="H443" s="34">
        <v>29.4</v>
      </c>
      <c r="I443" s="60">
        <v>34.6</v>
      </c>
      <c r="J443" s="60">
        <v>26.8</v>
      </c>
      <c r="K443" s="61" t="s">
        <v>9</v>
      </c>
      <c r="L443" s="61">
        <v>70</v>
      </c>
      <c r="M443" s="62"/>
      <c r="N443" s="63">
        <v>1008.5041666666665</v>
      </c>
      <c r="O443" s="57">
        <v>69.685094657692275</v>
      </c>
      <c r="P443" s="57">
        <v>52.768107242134263</v>
      </c>
      <c r="Q443" s="57">
        <v>68.177750379863951</v>
      </c>
      <c r="R443" s="8">
        <v>65.079011734345684</v>
      </c>
      <c r="S443" s="64" t="e">
        <v>#N/A</v>
      </c>
      <c r="T443" s="65">
        <v>200</v>
      </c>
      <c r="U443" s="64" t="e">
        <v>#N/A</v>
      </c>
      <c r="V443" s="66">
        <v>0</v>
      </c>
    </row>
    <row r="444" spans="1:22" s="53" customFormat="1" x14ac:dyDescent="0.35">
      <c r="A444" s="2">
        <v>43116</v>
      </c>
      <c r="B444" s="3">
        <f t="shared" si="27"/>
        <v>2018</v>
      </c>
      <c r="C444" s="3">
        <f t="shared" si="28"/>
        <v>1</v>
      </c>
      <c r="D444" s="3">
        <f t="shared" si="29"/>
        <v>16</v>
      </c>
      <c r="E444" s="59">
        <v>27.2</v>
      </c>
      <c r="F444" s="59">
        <v>32.1</v>
      </c>
      <c r="G444" s="59">
        <v>24.2</v>
      </c>
      <c r="H444" s="34">
        <v>27.675000000000001</v>
      </c>
      <c r="I444" s="60">
        <v>32.200000000000003</v>
      </c>
      <c r="J444" s="60">
        <v>23.6</v>
      </c>
      <c r="K444" s="61">
        <v>55.6</v>
      </c>
      <c r="L444" s="61">
        <v>37.5</v>
      </c>
      <c r="M444" s="62"/>
      <c r="N444" s="63">
        <v>1009.3583333333335</v>
      </c>
      <c r="O444" s="57">
        <v>71.347227453372824</v>
      </c>
      <c r="P444" s="57">
        <v>58.355552661789936</v>
      </c>
      <c r="Q444" s="57">
        <v>94.869410115651917</v>
      </c>
      <c r="R444" s="8">
        <v>73.97985442104688</v>
      </c>
      <c r="S444" s="64">
        <v>5.833333333333333</v>
      </c>
      <c r="T444" s="65">
        <v>270</v>
      </c>
      <c r="U444" s="64">
        <v>11</v>
      </c>
      <c r="V444" s="66">
        <v>0</v>
      </c>
    </row>
    <row r="445" spans="1:22" s="53" customFormat="1" x14ac:dyDescent="0.35">
      <c r="A445" s="2">
        <v>43117</v>
      </c>
      <c r="B445" s="3">
        <f t="shared" si="27"/>
        <v>2018</v>
      </c>
      <c r="C445" s="3">
        <f t="shared" si="28"/>
        <v>1</v>
      </c>
      <c r="D445" s="3">
        <f t="shared" si="29"/>
        <v>17</v>
      </c>
      <c r="E445" s="59">
        <v>25.4</v>
      </c>
      <c r="F445" s="59">
        <v>30.4</v>
      </c>
      <c r="G445" s="59">
        <v>28</v>
      </c>
      <c r="H445" s="34">
        <v>27.299999999999997</v>
      </c>
      <c r="I445" s="60">
        <v>31.2</v>
      </c>
      <c r="J445" s="60">
        <v>25.4</v>
      </c>
      <c r="K445" s="61" t="s">
        <v>9</v>
      </c>
      <c r="L445" s="61">
        <v>51.249999999999993</v>
      </c>
      <c r="M445" s="62"/>
      <c r="N445" s="63">
        <v>1009.5458333333331</v>
      </c>
      <c r="O445" s="57">
        <v>91.742189653458766</v>
      </c>
      <c r="P445" s="57">
        <v>71.894287781557992</v>
      </c>
      <c r="Q445" s="57">
        <v>71.851319505334544</v>
      </c>
      <c r="R445" s="8">
        <v>81.807496648452513</v>
      </c>
      <c r="S445" s="64">
        <v>4</v>
      </c>
      <c r="T445" s="65">
        <v>260</v>
      </c>
      <c r="U445" s="64">
        <v>8</v>
      </c>
      <c r="V445" s="66">
        <v>0</v>
      </c>
    </row>
    <row r="446" spans="1:22" s="53" customFormat="1" x14ac:dyDescent="0.35">
      <c r="A446" s="2">
        <v>43118</v>
      </c>
      <c r="B446" s="3">
        <f t="shared" si="27"/>
        <v>2018</v>
      </c>
      <c r="C446" s="3">
        <f t="shared" si="28"/>
        <v>1</v>
      </c>
      <c r="D446" s="3">
        <f t="shared" si="29"/>
        <v>18</v>
      </c>
      <c r="E446" s="59">
        <v>25.8</v>
      </c>
      <c r="F446" s="59">
        <v>32.200000000000003</v>
      </c>
      <c r="G446" s="59">
        <v>28.6</v>
      </c>
      <c r="H446" s="34">
        <v>28.1</v>
      </c>
      <c r="I446" s="60">
        <v>33</v>
      </c>
      <c r="J446" s="60">
        <v>25.8</v>
      </c>
      <c r="K446" s="61" t="s">
        <v>9</v>
      </c>
      <c r="L446" s="61">
        <v>90</v>
      </c>
      <c r="M446" s="62"/>
      <c r="N446" s="63">
        <v>1009.8499999999999</v>
      </c>
      <c r="O446" s="57">
        <v>85.482589286737337</v>
      </c>
      <c r="P446" s="57">
        <v>63.102119461276786</v>
      </c>
      <c r="Q446" s="57">
        <v>76.341050530563621</v>
      </c>
      <c r="R446" s="8">
        <v>77.602087141328767</v>
      </c>
      <c r="S446" s="64">
        <v>5.8695652173913047</v>
      </c>
      <c r="T446" s="65">
        <v>210</v>
      </c>
      <c r="U446" s="87">
        <v>12</v>
      </c>
      <c r="V446" s="67">
        <v>0</v>
      </c>
    </row>
    <row r="447" spans="1:22" s="53" customFormat="1" x14ac:dyDescent="0.35">
      <c r="A447" s="2">
        <v>43119</v>
      </c>
      <c r="B447" s="3">
        <f t="shared" si="27"/>
        <v>2018</v>
      </c>
      <c r="C447" s="3">
        <f t="shared" si="28"/>
        <v>1</v>
      </c>
      <c r="D447" s="3">
        <f t="shared" si="29"/>
        <v>19</v>
      </c>
      <c r="E447" s="59">
        <v>26.8</v>
      </c>
      <c r="F447" s="59">
        <v>32.200000000000003</v>
      </c>
      <c r="G447" s="59">
        <v>30.2</v>
      </c>
      <c r="H447" s="34">
        <v>29.000000000000004</v>
      </c>
      <c r="I447" s="60">
        <v>32.799999999999997</v>
      </c>
      <c r="J447" s="60">
        <v>25.8</v>
      </c>
      <c r="K447" s="61" t="s">
        <v>9</v>
      </c>
      <c r="L447" s="61">
        <v>93.75</v>
      </c>
      <c r="M447" s="62"/>
      <c r="N447" s="63">
        <v>1011.1291666666667</v>
      </c>
      <c r="O447" s="57">
        <v>76.838483607839194</v>
      </c>
      <c r="P447" s="57">
        <v>59.570406452725102</v>
      </c>
      <c r="Q447" s="57">
        <v>67.906155096599633</v>
      </c>
      <c r="R447" s="8">
        <v>70.288382191250776</v>
      </c>
      <c r="S447" s="64">
        <v>5</v>
      </c>
      <c r="T447" s="65">
        <v>210</v>
      </c>
      <c r="U447" s="64">
        <v>10</v>
      </c>
      <c r="V447" s="66">
        <v>0</v>
      </c>
    </row>
    <row r="448" spans="1:22" s="53" customFormat="1" x14ac:dyDescent="0.35">
      <c r="A448" s="2">
        <v>43120</v>
      </c>
      <c r="B448" s="3">
        <f t="shared" si="27"/>
        <v>2018</v>
      </c>
      <c r="C448" s="3">
        <f t="shared" si="28"/>
        <v>1</v>
      </c>
      <c r="D448" s="3">
        <f t="shared" si="29"/>
        <v>20</v>
      </c>
      <c r="E448" s="59">
        <v>26.2</v>
      </c>
      <c r="F448" s="59">
        <v>33.1</v>
      </c>
      <c r="G448" s="59">
        <v>30.2</v>
      </c>
      <c r="H448" s="34">
        <v>28.925000000000001</v>
      </c>
      <c r="I448" s="60">
        <v>34</v>
      </c>
      <c r="J448" s="60">
        <v>25.2</v>
      </c>
      <c r="K448" s="61" t="s">
        <v>9</v>
      </c>
      <c r="L448" s="61">
        <v>81.25</v>
      </c>
      <c r="M448" s="62"/>
      <c r="N448" s="63">
        <v>1011.6166666666667</v>
      </c>
      <c r="O448" s="57">
        <v>75.034705960254527</v>
      </c>
      <c r="P448" s="57">
        <v>56.301387228090825</v>
      </c>
      <c r="Q448" s="57">
        <v>71.783769944594695</v>
      </c>
      <c r="R448" s="8">
        <v>69.538642273298649</v>
      </c>
      <c r="S448" s="64">
        <v>5.166666666666667</v>
      </c>
      <c r="T448" s="65">
        <v>140</v>
      </c>
      <c r="U448" s="64">
        <v>9</v>
      </c>
      <c r="V448" s="66">
        <v>0</v>
      </c>
    </row>
    <row r="449" spans="1:22" s="53" customFormat="1" x14ac:dyDescent="0.35">
      <c r="A449" s="2">
        <v>43121</v>
      </c>
      <c r="B449" s="3">
        <f t="shared" si="27"/>
        <v>2018</v>
      </c>
      <c r="C449" s="3">
        <f t="shared" si="28"/>
        <v>1</v>
      </c>
      <c r="D449" s="3">
        <f t="shared" si="29"/>
        <v>21</v>
      </c>
      <c r="E449" s="59">
        <v>26.3</v>
      </c>
      <c r="F449" s="59">
        <v>32.4</v>
      </c>
      <c r="G449" s="59">
        <v>29.8</v>
      </c>
      <c r="H449" s="34">
        <v>28.7</v>
      </c>
      <c r="I449" s="60">
        <v>33</v>
      </c>
      <c r="J449" s="60">
        <v>25.5</v>
      </c>
      <c r="K449" s="61" t="s">
        <v>9</v>
      </c>
      <c r="L449" s="61">
        <v>100</v>
      </c>
      <c r="M449" s="62"/>
      <c r="N449" s="63">
        <v>1011.2958333333332</v>
      </c>
      <c r="O449" s="57">
        <v>72.898013335871227</v>
      </c>
      <c r="P449" s="57">
        <v>60.871496659385883</v>
      </c>
      <c r="Q449" s="57">
        <v>74.215048978491666</v>
      </c>
      <c r="R449" s="8">
        <v>70.220643077405001</v>
      </c>
      <c r="S449" s="64">
        <v>4.5217391304347823</v>
      </c>
      <c r="T449" s="65">
        <v>180</v>
      </c>
      <c r="U449" s="64">
        <v>10</v>
      </c>
      <c r="V449" s="66">
        <v>0</v>
      </c>
    </row>
    <row r="450" spans="1:22" s="53" customFormat="1" x14ac:dyDescent="0.35">
      <c r="A450" s="2">
        <v>43122</v>
      </c>
      <c r="B450" s="3">
        <f t="shared" si="27"/>
        <v>2018</v>
      </c>
      <c r="C450" s="3">
        <f t="shared" si="28"/>
        <v>1</v>
      </c>
      <c r="D450" s="3">
        <f t="shared" si="29"/>
        <v>22</v>
      </c>
      <c r="E450" s="59">
        <v>26</v>
      </c>
      <c r="F450" s="59">
        <v>31.6</v>
      </c>
      <c r="G450" s="59">
        <v>30.4</v>
      </c>
      <c r="H450" s="34">
        <v>28.5</v>
      </c>
      <c r="I450" s="60">
        <v>32.6</v>
      </c>
      <c r="J450" s="60">
        <v>25.5</v>
      </c>
      <c r="K450" s="61" t="s">
        <v>9</v>
      </c>
      <c r="L450" s="61">
        <v>100</v>
      </c>
      <c r="M450" s="62"/>
      <c r="N450" s="63">
        <v>1010.5750000000002</v>
      </c>
      <c r="O450" s="57">
        <v>70.543576398239651</v>
      </c>
      <c r="P450" s="57">
        <v>55.61106399796968</v>
      </c>
      <c r="Q450" s="57">
        <v>65.505481350494335</v>
      </c>
      <c r="R450" s="8">
        <v>65.550924536235826</v>
      </c>
      <c r="S450" s="64">
        <v>4.708333333333333</v>
      </c>
      <c r="T450" s="65">
        <v>180</v>
      </c>
      <c r="U450" s="64">
        <v>9</v>
      </c>
      <c r="V450" s="66">
        <v>0</v>
      </c>
    </row>
    <row r="451" spans="1:22" s="53" customFormat="1" x14ac:dyDescent="0.35">
      <c r="A451" s="2">
        <v>43123</v>
      </c>
      <c r="B451" s="3">
        <f t="shared" si="27"/>
        <v>2018</v>
      </c>
      <c r="C451" s="3">
        <f t="shared" si="28"/>
        <v>1</v>
      </c>
      <c r="D451" s="3">
        <f t="shared" si="29"/>
        <v>23</v>
      </c>
      <c r="E451" s="59">
        <v>26.2</v>
      </c>
      <c r="F451" s="59">
        <v>32.799999999999997</v>
      </c>
      <c r="G451" s="59">
        <v>30.3</v>
      </c>
      <c r="H451" s="34">
        <v>28.874999999999996</v>
      </c>
      <c r="I451" s="60">
        <v>33</v>
      </c>
      <c r="J451" s="60">
        <v>24.2</v>
      </c>
      <c r="K451" s="61">
        <v>1.9</v>
      </c>
      <c r="L451" s="61">
        <v>80</v>
      </c>
      <c r="M451" s="62"/>
      <c r="N451" s="63">
        <v>1011.1999999999999</v>
      </c>
      <c r="O451" s="57">
        <v>75.048907486860202</v>
      </c>
      <c r="P451" s="57">
        <v>53.298179704051542</v>
      </c>
      <c r="Q451" s="57">
        <v>66.063112278461801</v>
      </c>
      <c r="R451" s="8">
        <v>67.364776739058442</v>
      </c>
      <c r="S451" s="64">
        <v>5.291666666666667</v>
      </c>
      <c r="T451" s="65">
        <v>350</v>
      </c>
      <c r="U451" s="64">
        <v>11</v>
      </c>
      <c r="V451" s="66">
        <v>0</v>
      </c>
    </row>
    <row r="452" spans="1:22" s="53" customFormat="1" x14ac:dyDescent="0.35">
      <c r="A452" s="2">
        <v>43124</v>
      </c>
      <c r="B452" s="3">
        <f t="shared" si="27"/>
        <v>2018</v>
      </c>
      <c r="C452" s="3">
        <f t="shared" si="28"/>
        <v>1</v>
      </c>
      <c r="D452" s="3">
        <f t="shared" si="29"/>
        <v>24</v>
      </c>
      <c r="E452" s="59">
        <v>24.6</v>
      </c>
      <c r="F452" s="59">
        <v>31</v>
      </c>
      <c r="G452" s="59">
        <v>31</v>
      </c>
      <c r="H452" s="34">
        <v>27.8</v>
      </c>
      <c r="I452" s="60">
        <v>32.6</v>
      </c>
      <c r="J452" s="60">
        <v>24</v>
      </c>
      <c r="K452" s="61" t="s">
        <v>9</v>
      </c>
      <c r="L452" s="61">
        <v>6.25</v>
      </c>
      <c r="M452" s="62"/>
      <c r="N452" s="63">
        <v>1011.9041666666666</v>
      </c>
      <c r="O452" s="57">
        <v>85.057708398046941</v>
      </c>
      <c r="P452" s="57">
        <v>51.614962995234833</v>
      </c>
      <c r="Q452" s="57">
        <v>57.432788755886911</v>
      </c>
      <c r="R452" s="8">
        <v>69.790792136803901</v>
      </c>
      <c r="S452" s="64" t="e">
        <v>#N/A</v>
      </c>
      <c r="T452" s="65">
        <v>200</v>
      </c>
      <c r="U452" s="64" t="e">
        <v>#N/A</v>
      </c>
      <c r="V452" s="66">
        <v>0</v>
      </c>
    </row>
    <row r="453" spans="1:22" s="53" customFormat="1" x14ac:dyDescent="0.35">
      <c r="A453" s="2">
        <v>43125</v>
      </c>
      <c r="B453" s="3">
        <f t="shared" si="27"/>
        <v>2018</v>
      </c>
      <c r="C453" s="3">
        <f t="shared" si="28"/>
        <v>1</v>
      </c>
      <c r="D453" s="3">
        <f t="shared" si="29"/>
        <v>25</v>
      </c>
      <c r="E453" s="59">
        <v>25</v>
      </c>
      <c r="F453" s="59">
        <v>31</v>
      </c>
      <c r="G453" s="59">
        <v>29.8</v>
      </c>
      <c r="H453" s="34">
        <v>27.7</v>
      </c>
      <c r="I453" s="60">
        <v>32</v>
      </c>
      <c r="J453" s="60">
        <v>25</v>
      </c>
      <c r="K453" s="61" t="s">
        <v>9</v>
      </c>
      <c r="L453" s="61">
        <v>100</v>
      </c>
      <c r="M453" s="62"/>
      <c r="N453" s="63">
        <v>1011.5416666666671</v>
      </c>
      <c r="O453" s="57">
        <v>82.040074986779672</v>
      </c>
      <c r="P453" s="57">
        <v>63.426399789542799</v>
      </c>
      <c r="Q453" s="57">
        <v>67.639823963027865</v>
      </c>
      <c r="R453" s="8">
        <v>73.786593431532509</v>
      </c>
      <c r="S453" s="64">
        <v>5.1904761904761907</v>
      </c>
      <c r="T453" s="65">
        <v>340</v>
      </c>
      <c r="U453" s="64">
        <v>13</v>
      </c>
      <c r="V453" s="66">
        <v>0</v>
      </c>
    </row>
    <row r="454" spans="1:22" s="53" customFormat="1" x14ac:dyDescent="0.35">
      <c r="A454" s="2">
        <v>43126</v>
      </c>
      <c r="B454" s="3">
        <f t="shared" si="27"/>
        <v>2018</v>
      </c>
      <c r="C454" s="3">
        <f t="shared" si="28"/>
        <v>1</v>
      </c>
      <c r="D454" s="3">
        <f t="shared" si="29"/>
        <v>26</v>
      </c>
      <c r="E454" s="59">
        <v>26.4</v>
      </c>
      <c r="F454" s="59">
        <v>31.6</v>
      </c>
      <c r="G454" s="59">
        <v>30.2</v>
      </c>
      <c r="H454" s="34">
        <v>28.650000000000002</v>
      </c>
      <c r="I454" s="60">
        <v>32.299999999999997</v>
      </c>
      <c r="J454" s="60">
        <v>26.4</v>
      </c>
      <c r="K454" s="61" t="s">
        <v>9</v>
      </c>
      <c r="L454" s="61">
        <v>100</v>
      </c>
      <c r="M454" s="62"/>
      <c r="N454" s="63">
        <v>1010.7625000000003</v>
      </c>
      <c r="O454" s="57">
        <v>82.607038280256205</v>
      </c>
      <c r="P454" s="57">
        <v>62.060967993629369</v>
      </c>
      <c r="Q454" s="57">
        <v>65.36556420096403</v>
      </c>
      <c r="R454" s="8">
        <v>73.160152188776451</v>
      </c>
      <c r="S454" s="64">
        <v>4.708333333333333</v>
      </c>
      <c r="T454" s="65">
        <v>220</v>
      </c>
      <c r="U454" s="64">
        <v>12</v>
      </c>
      <c r="V454" s="66">
        <v>0</v>
      </c>
    </row>
    <row r="455" spans="1:22" s="53" customFormat="1" x14ac:dyDescent="0.35">
      <c r="A455" s="2">
        <v>43127</v>
      </c>
      <c r="B455" s="3">
        <f t="shared" si="27"/>
        <v>2018</v>
      </c>
      <c r="C455" s="3">
        <f t="shared" si="28"/>
        <v>1</v>
      </c>
      <c r="D455" s="3">
        <f t="shared" si="29"/>
        <v>27</v>
      </c>
      <c r="E455" s="59">
        <v>26.8</v>
      </c>
      <c r="F455" s="59">
        <v>32.4</v>
      </c>
      <c r="G455" s="59">
        <v>29.4</v>
      </c>
      <c r="H455" s="34">
        <v>28.85</v>
      </c>
      <c r="I455" s="60">
        <v>33.4</v>
      </c>
      <c r="J455" s="60">
        <v>26</v>
      </c>
      <c r="K455" s="61" t="s">
        <v>9</v>
      </c>
      <c r="L455" s="61">
        <v>100</v>
      </c>
      <c r="M455" s="62"/>
      <c r="N455" s="63">
        <v>1009.3791666666666</v>
      </c>
      <c r="O455" s="57">
        <v>78.304507276887847</v>
      </c>
      <c r="P455" s="57">
        <v>60.895021320859279</v>
      </c>
      <c r="Q455" s="57">
        <v>67.386501458425613</v>
      </c>
      <c r="R455" s="8">
        <v>71.222634333265148</v>
      </c>
      <c r="S455" s="64">
        <v>5.9047619047619051</v>
      </c>
      <c r="T455" s="65">
        <v>200</v>
      </c>
      <c r="U455" s="64">
        <v>13</v>
      </c>
      <c r="V455" s="66">
        <v>0</v>
      </c>
    </row>
    <row r="456" spans="1:22" s="53" customFormat="1" x14ac:dyDescent="0.35">
      <c r="A456" s="2">
        <v>43128</v>
      </c>
      <c r="B456" s="3">
        <f t="shared" si="27"/>
        <v>2018</v>
      </c>
      <c r="C456" s="3">
        <f t="shared" si="28"/>
        <v>1</v>
      </c>
      <c r="D456" s="3">
        <f t="shared" si="29"/>
        <v>28</v>
      </c>
      <c r="E456" s="59">
        <v>26.8</v>
      </c>
      <c r="F456" s="59">
        <v>32.5</v>
      </c>
      <c r="G456" s="59">
        <v>30</v>
      </c>
      <c r="H456" s="34">
        <v>29.024999999999999</v>
      </c>
      <c r="I456" s="60">
        <v>32.799999999999997</v>
      </c>
      <c r="J456" s="60">
        <v>26.2</v>
      </c>
      <c r="K456" s="61" t="s">
        <v>9</v>
      </c>
      <c r="L456" s="61">
        <v>100</v>
      </c>
      <c r="M456" s="62"/>
      <c r="N456" s="63">
        <v>1009.7874999999999</v>
      </c>
      <c r="O456" s="57">
        <v>81.273187155932519</v>
      </c>
      <c r="P456" s="57">
        <v>62.715439577407786</v>
      </c>
      <c r="Q456" s="57">
        <v>72.998216689712351</v>
      </c>
      <c r="R456" s="8">
        <v>74.565007644746288</v>
      </c>
      <c r="S456" s="64">
        <v>5.7826086956521738</v>
      </c>
      <c r="T456" s="65">
        <v>160</v>
      </c>
      <c r="U456" s="64">
        <v>11</v>
      </c>
      <c r="V456" s="66">
        <v>0</v>
      </c>
    </row>
    <row r="457" spans="1:22" s="53" customFormat="1" x14ac:dyDescent="0.35">
      <c r="A457" s="2">
        <v>43129</v>
      </c>
      <c r="B457" s="3">
        <f t="shared" si="27"/>
        <v>2018</v>
      </c>
      <c r="C457" s="3">
        <f t="shared" si="28"/>
        <v>1</v>
      </c>
      <c r="D457" s="3">
        <f t="shared" si="29"/>
        <v>29</v>
      </c>
      <c r="E457" s="59">
        <v>27</v>
      </c>
      <c r="F457" s="59">
        <v>32.200000000000003</v>
      </c>
      <c r="G457" s="59">
        <v>30.6</v>
      </c>
      <c r="H457" s="34">
        <v>29.200000000000003</v>
      </c>
      <c r="I457" s="60">
        <v>32.799999999999997</v>
      </c>
      <c r="J457" s="60">
        <v>25.8</v>
      </c>
      <c r="K457" s="61" t="s">
        <v>9</v>
      </c>
      <c r="L457" s="61">
        <v>100</v>
      </c>
      <c r="M457" s="62"/>
      <c r="N457" s="63">
        <v>1009.8916666666669</v>
      </c>
      <c r="O457" s="57">
        <v>76.940932276616238</v>
      </c>
      <c r="P457" s="57">
        <v>63.092867237383096</v>
      </c>
      <c r="Q457" s="57">
        <v>63.16306020794228</v>
      </c>
      <c r="R457" s="8">
        <v>70.034447999639468</v>
      </c>
      <c r="S457" s="64">
        <v>5.1363636363636367</v>
      </c>
      <c r="T457" s="65">
        <v>210</v>
      </c>
      <c r="U457" s="64">
        <v>15</v>
      </c>
      <c r="V457" s="66">
        <v>0</v>
      </c>
    </row>
    <row r="458" spans="1:22" s="53" customFormat="1" x14ac:dyDescent="0.35">
      <c r="A458" s="2">
        <v>43130</v>
      </c>
      <c r="B458" s="3">
        <f t="shared" si="27"/>
        <v>2018</v>
      </c>
      <c r="C458" s="3">
        <f t="shared" si="28"/>
        <v>1</v>
      </c>
      <c r="D458" s="3">
        <f t="shared" si="29"/>
        <v>30</v>
      </c>
      <c r="E458" s="59">
        <v>26.2</v>
      </c>
      <c r="F458" s="59">
        <v>33.4</v>
      </c>
      <c r="G458" s="59">
        <v>30.6</v>
      </c>
      <c r="H458" s="34">
        <v>29.1</v>
      </c>
      <c r="I458" s="60">
        <v>33.6</v>
      </c>
      <c r="J458" s="60">
        <v>25.8</v>
      </c>
      <c r="K458" s="61" t="s">
        <v>9</v>
      </c>
      <c r="L458" s="61">
        <v>100</v>
      </c>
      <c r="M458" s="62"/>
      <c r="N458" s="63">
        <v>1009.1333333333332</v>
      </c>
      <c r="O458" s="57">
        <v>76.529314760541808</v>
      </c>
      <c r="P458" s="57">
        <v>45.407507597551778</v>
      </c>
      <c r="Q458" s="57">
        <v>64.415375096243537</v>
      </c>
      <c r="R458" s="8">
        <v>65.720378053719742</v>
      </c>
      <c r="S458" s="64">
        <v>4.7826086956521738</v>
      </c>
      <c r="T458" s="65">
        <v>190</v>
      </c>
      <c r="U458" s="64">
        <v>9</v>
      </c>
      <c r="V458" s="66">
        <v>0</v>
      </c>
    </row>
    <row r="459" spans="1:22" s="53" customFormat="1" x14ac:dyDescent="0.35">
      <c r="A459" s="2">
        <v>43131</v>
      </c>
      <c r="B459" s="3">
        <f t="shared" si="27"/>
        <v>2018</v>
      </c>
      <c r="C459" s="3">
        <f t="shared" si="28"/>
        <v>1</v>
      </c>
      <c r="D459" s="3">
        <f t="shared" si="29"/>
        <v>31</v>
      </c>
      <c r="E459" s="59">
        <v>25.8</v>
      </c>
      <c r="F459" s="59">
        <v>31.6</v>
      </c>
      <c r="G459" s="59">
        <v>30.5</v>
      </c>
      <c r="H459" s="34">
        <v>28.425000000000001</v>
      </c>
      <c r="I459" s="60">
        <v>32.6</v>
      </c>
      <c r="J459" s="60" t="e">
        <v>#REF!</v>
      </c>
      <c r="K459" s="61" t="s">
        <v>9</v>
      </c>
      <c r="L459" s="61">
        <v>0</v>
      </c>
      <c r="M459" s="16"/>
      <c r="N459" s="63">
        <v>810.43913043478267</v>
      </c>
      <c r="O459" s="57">
        <v>73.348693268630612</v>
      </c>
      <c r="P459" s="57">
        <v>57.948871320535389</v>
      </c>
      <c r="Q459" s="57">
        <v>61.265198095868065</v>
      </c>
      <c r="R459" s="8">
        <v>66.477863988416175</v>
      </c>
      <c r="S459" s="64">
        <v>5.2608695652173916</v>
      </c>
      <c r="T459" s="65">
        <v>200</v>
      </c>
      <c r="U459" s="64">
        <v>10</v>
      </c>
      <c r="V459" s="65">
        <v>0</v>
      </c>
    </row>
    <row r="460" spans="1:22" s="53" customFormat="1" x14ac:dyDescent="0.35">
      <c r="A460" s="2">
        <v>43132</v>
      </c>
      <c r="B460" s="3">
        <f t="shared" si="27"/>
        <v>2018</v>
      </c>
      <c r="C460" s="3">
        <f t="shared" si="28"/>
        <v>2</v>
      </c>
      <c r="D460" s="3">
        <f t="shared" si="29"/>
        <v>1</v>
      </c>
      <c r="E460" s="68">
        <v>25.4</v>
      </c>
      <c r="F460" s="68">
        <v>29</v>
      </c>
      <c r="G460" s="68">
        <v>27.8</v>
      </c>
      <c r="H460" s="34">
        <v>26.9</v>
      </c>
      <c r="I460" s="27">
        <v>29.2</v>
      </c>
      <c r="J460" s="27">
        <v>24.8</v>
      </c>
      <c r="K460" s="28">
        <v>2</v>
      </c>
      <c r="L460" s="35">
        <v>6.25</v>
      </c>
      <c r="M460" s="45"/>
      <c r="N460" s="29">
        <v>1008.3708333333334</v>
      </c>
      <c r="O460" s="30">
        <v>100</v>
      </c>
      <c r="P460" s="30">
        <v>81.432113320630606</v>
      </c>
      <c r="Q460" s="30">
        <v>86.117649830167792</v>
      </c>
      <c r="R460" s="8">
        <v>91.887440787699603</v>
      </c>
      <c r="S460" s="31" t="e">
        <v>#N/A</v>
      </c>
      <c r="T460" s="32" t="e">
        <v>#N/A</v>
      </c>
      <c r="U460" s="31" t="e">
        <v>#N/A</v>
      </c>
      <c r="V460" s="70">
        <v>0</v>
      </c>
    </row>
    <row r="461" spans="1:22" s="53" customFormat="1" x14ac:dyDescent="0.35">
      <c r="A461" s="2">
        <v>43133</v>
      </c>
      <c r="B461" s="3">
        <f t="shared" si="27"/>
        <v>2018</v>
      </c>
      <c r="C461" s="3">
        <f t="shared" si="28"/>
        <v>2</v>
      </c>
      <c r="D461" s="3">
        <f t="shared" si="29"/>
        <v>2</v>
      </c>
      <c r="E461" s="68">
        <v>24.8</v>
      </c>
      <c r="F461" s="68">
        <v>29.8</v>
      </c>
      <c r="G461" s="68">
        <v>28</v>
      </c>
      <c r="H461" s="34">
        <v>26.85</v>
      </c>
      <c r="I461" s="27">
        <v>30.4</v>
      </c>
      <c r="J461" s="27">
        <v>23.8</v>
      </c>
      <c r="K461" s="28">
        <v>4.8</v>
      </c>
      <c r="L461" s="35">
        <v>48.75</v>
      </c>
      <c r="M461" s="45"/>
      <c r="N461" s="29">
        <v>1008.7333333333332</v>
      </c>
      <c r="O461" s="30">
        <v>96.614646157296448</v>
      </c>
      <c r="P461" s="30">
        <v>72.879384177661322</v>
      </c>
      <c r="Q461" s="30">
        <v>83.228875844975363</v>
      </c>
      <c r="R461" s="8">
        <v>87.334388084307392</v>
      </c>
      <c r="S461" s="31">
        <v>4.9090909090909092</v>
      </c>
      <c r="T461" s="32">
        <v>270</v>
      </c>
      <c r="U461" s="88">
        <v>12</v>
      </c>
      <c r="V461" s="69">
        <v>0</v>
      </c>
    </row>
    <row r="462" spans="1:22" s="53" customFormat="1" x14ac:dyDescent="0.35">
      <c r="A462" s="2">
        <v>43134</v>
      </c>
      <c r="B462" s="3">
        <f t="shared" si="27"/>
        <v>2018</v>
      </c>
      <c r="C462" s="3">
        <f t="shared" si="28"/>
        <v>2</v>
      </c>
      <c r="D462" s="3">
        <f t="shared" si="29"/>
        <v>3</v>
      </c>
      <c r="E462" s="68">
        <v>24.4</v>
      </c>
      <c r="F462" s="68">
        <v>27.8</v>
      </c>
      <c r="G462" s="68">
        <v>26.5</v>
      </c>
      <c r="H462" s="34">
        <v>25.774999999999999</v>
      </c>
      <c r="I462" s="27">
        <v>30.2</v>
      </c>
      <c r="J462" s="27">
        <v>23.8</v>
      </c>
      <c r="K462" s="28" t="s">
        <v>9</v>
      </c>
      <c r="L462" s="35">
        <v>65</v>
      </c>
      <c r="M462" s="45"/>
      <c r="N462" s="29">
        <v>1009.4125</v>
      </c>
      <c r="O462" s="30">
        <v>98.285178068894339</v>
      </c>
      <c r="P462" s="30">
        <v>75.215561625822403</v>
      </c>
      <c r="Q462" s="30">
        <v>78.916013857225551</v>
      </c>
      <c r="R462" s="8">
        <v>87.675482905209165</v>
      </c>
      <c r="S462" s="31">
        <v>7.8181818181818183</v>
      </c>
      <c r="T462" s="32">
        <v>270</v>
      </c>
      <c r="U462" s="31">
        <v>21</v>
      </c>
      <c r="V462" s="70">
        <v>0</v>
      </c>
    </row>
    <row r="463" spans="1:22" s="53" customFormat="1" x14ac:dyDescent="0.35">
      <c r="A463" s="2">
        <v>43135</v>
      </c>
      <c r="B463" s="3">
        <f t="shared" si="27"/>
        <v>2018</v>
      </c>
      <c r="C463" s="3">
        <f t="shared" si="28"/>
        <v>2</v>
      </c>
      <c r="D463" s="3">
        <f t="shared" si="29"/>
        <v>4</v>
      </c>
      <c r="E463" s="68">
        <v>23.8</v>
      </c>
      <c r="F463" s="68">
        <v>27.8</v>
      </c>
      <c r="G463" s="68">
        <v>28.2</v>
      </c>
      <c r="H463" s="34">
        <v>25.900000000000002</v>
      </c>
      <c r="I463" s="27">
        <v>30.3</v>
      </c>
      <c r="J463" s="27">
        <v>23.8</v>
      </c>
      <c r="K463" s="28">
        <v>17.600000000000001</v>
      </c>
      <c r="L463" s="35">
        <v>77.5</v>
      </c>
      <c r="M463" s="45"/>
      <c r="N463" s="29">
        <v>1009.7749999999997</v>
      </c>
      <c r="O463" s="30">
        <v>96.532894611104325</v>
      </c>
      <c r="P463" s="30">
        <v>80.948752882375871</v>
      </c>
      <c r="Q463" s="30">
        <v>79.685126403557902</v>
      </c>
      <c r="R463" s="8">
        <v>88.424917127035599</v>
      </c>
      <c r="S463" s="31">
        <v>5.7894736842105265</v>
      </c>
      <c r="T463" s="32">
        <v>280</v>
      </c>
      <c r="U463" s="31">
        <v>12</v>
      </c>
      <c r="V463" s="70">
        <v>0</v>
      </c>
    </row>
    <row r="464" spans="1:22" s="53" customFormat="1" x14ac:dyDescent="0.35">
      <c r="A464" s="2">
        <v>43136</v>
      </c>
      <c r="B464" s="3">
        <f t="shared" si="27"/>
        <v>2018</v>
      </c>
      <c r="C464" s="3">
        <f t="shared" si="28"/>
        <v>2</v>
      </c>
      <c r="D464" s="3">
        <f t="shared" si="29"/>
        <v>5</v>
      </c>
      <c r="E464" s="68">
        <v>25.1</v>
      </c>
      <c r="F464" s="68">
        <v>28.8</v>
      </c>
      <c r="G464" s="68">
        <v>25.2</v>
      </c>
      <c r="H464" s="34">
        <v>26.05</v>
      </c>
      <c r="I464" s="27">
        <v>29.4</v>
      </c>
      <c r="J464" s="27">
        <v>23.4</v>
      </c>
      <c r="K464" s="28">
        <v>40.4</v>
      </c>
      <c r="L464" s="35">
        <v>12.5</v>
      </c>
      <c r="M464" s="45"/>
      <c r="N464" s="29">
        <v>1010.7833333333333</v>
      </c>
      <c r="O464" s="30">
        <v>90.868438818723348</v>
      </c>
      <c r="P464" s="30">
        <v>79.222095238951383</v>
      </c>
      <c r="Q464" s="30">
        <v>89.272472584841182</v>
      </c>
      <c r="R464" s="8">
        <v>87.557861365309819</v>
      </c>
      <c r="S464" s="31">
        <v>4.7619047619047619</v>
      </c>
      <c r="T464" s="32">
        <v>270</v>
      </c>
      <c r="U464" s="31">
        <v>11</v>
      </c>
      <c r="V464" s="70">
        <v>0</v>
      </c>
    </row>
    <row r="465" spans="1:22" s="53" customFormat="1" x14ac:dyDescent="0.35">
      <c r="A465" s="2">
        <v>43137</v>
      </c>
      <c r="B465" s="3">
        <f t="shared" si="27"/>
        <v>2018</v>
      </c>
      <c r="C465" s="3">
        <f t="shared" si="28"/>
        <v>2</v>
      </c>
      <c r="D465" s="3">
        <f t="shared" si="29"/>
        <v>6</v>
      </c>
      <c r="E465" s="68">
        <v>23.8</v>
      </c>
      <c r="F465" s="68">
        <v>27.6</v>
      </c>
      <c r="G465" s="68">
        <v>27.2</v>
      </c>
      <c r="H465" s="34">
        <v>25.6</v>
      </c>
      <c r="I465" s="27">
        <v>28.2</v>
      </c>
      <c r="J465" s="27">
        <v>23.8</v>
      </c>
      <c r="K465" s="28">
        <v>0</v>
      </c>
      <c r="L465" s="35">
        <v>0</v>
      </c>
      <c r="M465" s="45"/>
      <c r="N465" s="29">
        <v>1010.4083333333334</v>
      </c>
      <c r="O465" s="30">
        <v>83.958920008651134</v>
      </c>
      <c r="P465" s="30">
        <v>80.131432701010539</v>
      </c>
      <c r="Q465" s="30">
        <v>75.61122862876222</v>
      </c>
      <c r="R465" s="8">
        <v>80.915125336768753</v>
      </c>
      <c r="S465" s="31">
        <v>7.3913043478260869</v>
      </c>
      <c r="T465" s="32">
        <v>270</v>
      </c>
      <c r="U465" s="31">
        <v>17</v>
      </c>
      <c r="V465" s="70">
        <v>0</v>
      </c>
    </row>
    <row r="466" spans="1:22" s="53" customFormat="1" x14ac:dyDescent="0.35">
      <c r="A466" s="2">
        <v>43138</v>
      </c>
      <c r="B466" s="3">
        <f t="shared" si="27"/>
        <v>2018</v>
      </c>
      <c r="C466" s="3">
        <f t="shared" si="28"/>
        <v>2</v>
      </c>
      <c r="D466" s="3">
        <f t="shared" si="29"/>
        <v>7</v>
      </c>
      <c r="E466" s="68">
        <v>24.6</v>
      </c>
      <c r="F466" s="68">
        <v>28.8</v>
      </c>
      <c r="G466" s="68">
        <v>26.8</v>
      </c>
      <c r="H466" s="34">
        <v>26.2</v>
      </c>
      <c r="I466" s="27">
        <v>29.2</v>
      </c>
      <c r="J466" s="27">
        <v>24.4</v>
      </c>
      <c r="K466" s="28">
        <v>8.6999999999999993</v>
      </c>
      <c r="L466" s="35">
        <v>50</v>
      </c>
      <c r="M466" s="45"/>
      <c r="N466" s="29">
        <v>1009.5333333333334</v>
      </c>
      <c r="O466" s="30">
        <v>86.680027858697017</v>
      </c>
      <c r="P466" s="30">
        <v>73.674646000577283</v>
      </c>
      <c r="Q466" s="30">
        <v>84.289989868454924</v>
      </c>
      <c r="R466" s="8">
        <v>82.83117289660656</v>
      </c>
      <c r="S466" s="31">
        <v>6.041666666666667</v>
      </c>
      <c r="T466" s="32">
        <v>250</v>
      </c>
      <c r="U466" s="31">
        <v>11</v>
      </c>
      <c r="V466" s="70">
        <v>0</v>
      </c>
    </row>
    <row r="467" spans="1:22" s="53" customFormat="1" x14ac:dyDescent="0.35">
      <c r="A467" s="2">
        <v>43139</v>
      </c>
      <c r="B467" s="3">
        <f t="shared" si="27"/>
        <v>2018</v>
      </c>
      <c r="C467" s="3">
        <f t="shared" si="28"/>
        <v>2</v>
      </c>
      <c r="D467" s="3">
        <f t="shared" si="29"/>
        <v>8</v>
      </c>
      <c r="E467" s="68">
        <v>24.8</v>
      </c>
      <c r="F467" s="68">
        <v>25.2</v>
      </c>
      <c r="G467" s="68">
        <v>27.6</v>
      </c>
      <c r="H467" s="34">
        <v>25.6</v>
      </c>
      <c r="I467" s="27">
        <v>29.2</v>
      </c>
      <c r="J467" s="27">
        <v>23</v>
      </c>
      <c r="K467" s="28">
        <v>22.4</v>
      </c>
      <c r="L467" s="35">
        <v>33.75</v>
      </c>
      <c r="M467" s="45"/>
      <c r="N467" s="29">
        <v>1009.3499999999999</v>
      </c>
      <c r="O467" s="30">
        <v>93.277068154343041</v>
      </c>
      <c r="P467" s="30">
        <v>93.339222015572759</v>
      </c>
      <c r="Q467" s="30">
        <v>81.608922507281761</v>
      </c>
      <c r="R467" s="8">
        <v>90.375570207885147</v>
      </c>
      <c r="S467" s="31" t="e">
        <v>#N/A</v>
      </c>
      <c r="T467" s="32">
        <v>260</v>
      </c>
      <c r="U467" s="31" t="e">
        <v>#N/A</v>
      </c>
      <c r="V467" s="70">
        <v>0</v>
      </c>
    </row>
    <row r="468" spans="1:22" s="53" customFormat="1" x14ac:dyDescent="0.35">
      <c r="A468" s="2">
        <v>43140</v>
      </c>
      <c r="B468" s="3">
        <f t="shared" si="27"/>
        <v>2018</v>
      </c>
      <c r="C468" s="3">
        <f t="shared" si="28"/>
        <v>2</v>
      </c>
      <c r="D468" s="3">
        <f t="shared" si="29"/>
        <v>9</v>
      </c>
      <c r="E468" s="68">
        <v>24.4</v>
      </c>
      <c r="F468" s="68">
        <v>28.7</v>
      </c>
      <c r="G468" s="68">
        <v>27.1</v>
      </c>
      <c r="H468" s="34">
        <v>26.15</v>
      </c>
      <c r="I468" s="27">
        <v>29.2</v>
      </c>
      <c r="J468" s="27">
        <v>23.6</v>
      </c>
      <c r="K468" s="28">
        <v>9.5</v>
      </c>
      <c r="L468" s="35">
        <v>56.25</v>
      </c>
      <c r="M468" s="45"/>
      <c r="N468" s="29">
        <v>1009.1708333333332</v>
      </c>
      <c r="O468" s="30">
        <v>93.214368366481565</v>
      </c>
      <c r="P468" s="30">
        <v>78.481683887797203</v>
      </c>
      <c r="Q468" s="30">
        <v>86.663006429675704</v>
      </c>
      <c r="R468" s="8">
        <v>87.893356762609002</v>
      </c>
      <c r="S468" s="31">
        <v>5.75</v>
      </c>
      <c r="T468" s="32">
        <v>230</v>
      </c>
      <c r="U468" s="31">
        <v>13</v>
      </c>
      <c r="V468" s="70">
        <v>0</v>
      </c>
    </row>
    <row r="469" spans="1:22" s="53" customFormat="1" x14ac:dyDescent="0.35">
      <c r="A469" s="2">
        <v>43141</v>
      </c>
      <c r="B469" s="3">
        <f t="shared" si="27"/>
        <v>2018</v>
      </c>
      <c r="C469" s="3">
        <f t="shared" si="28"/>
        <v>2</v>
      </c>
      <c r="D469" s="3">
        <f t="shared" si="29"/>
        <v>10</v>
      </c>
      <c r="E469" s="68">
        <v>23.6</v>
      </c>
      <c r="F469" s="68">
        <v>29.4</v>
      </c>
      <c r="G469" s="68">
        <v>28.3</v>
      </c>
      <c r="H469" s="34">
        <v>26.224999999999998</v>
      </c>
      <c r="I469" s="27">
        <v>30</v>
      </c>
      <c r="J469" s="27">
        <v>23.6</v>
      </c>
      <c r="K469" s="28">
        <v>5.8</v>
      </c>
      <c r="L469" s="35">
        <v>90</v>
      </c>
      <c r="M469" s="45"/>
      <c r="N469" s="29">
        <v>1009.3500000000003</v>
      </c>
      <c r="O469" s="30">
        <v>96.515684051873748</v>
      </c>
      <c r="P469" s="30">
        <v>75.355665205102099</v>
      </c>
      <c r="Q469" s="30">
        <v>82.606455255705185</v>
      </c>
      <c r="R469" s="8">
        <v>87.748372141138702</v>
      </c>
      <c r="S469" s="31" t="e">
        <v>#N/A</v>
      </c>
      <c r="T469" s="32">
        <v>250</v>
      </c>
      <c r="U469" s="31" t="e">
        <v>#N/A</v>
      </c>
      <c r="V469" s="70">
        <v>0</v>
      </c>
    </row>
    <row r="470" spans="1:22" s="53" customFormat="1" x14ac:dyDescent="0.35">
      <c r="A470" s="2">
        <v>43142</v>
      </c>
      <c r="B470" s="3">
        <f t="shared" si="27"/>
        <v>2018</v>
      </c>
      <c r="C470" s="3">
        <f t="shared" si="28"/>
        <v>2</v>
      </c>
      <c r="D470" s="3">
        <f t="shared" si="29"/>
        <v>11</v>
      </c>
      <c r="E470" s="68">
        <v>25</v>
      </c>
      <c r="F470" s="68">
        <v>29</v>
      </c>
      <c r="G470" s="68">
        <v>27.8</v>
      </c>
      <c r="H470" s="34">
        <v>26.7</v>
      </c>
      <c r="I470" s="27">
        <v>29.6</v>
      </c>
      <c r="J470" s="27">
        <v>24.3</v>
      </c>
      <c r="K470" s="28">
        <v>0</v>
      </c>
      <c r="L470" s="35">
        <v>12.5</v>
      </c>
      <c r="M470" s="45"/>
      <c r="N470" s="29">
        <v>1010.1875000000001</v>
      </c>
      <c r="O470" s="30">
        <v>94.132953473958608</v>
      </c>
      <c r="P470" s="30">
        <v>75.148549209575947</v>
      </c>
      <c r="Q470" s="30">
        <v>81.687375649069438</v>
      </c>
      <c r="R470" s="8">
        <v>86.275457951640661</v>
      </c>
      <c r="S470" s="31">
        <v>8.1052631578947363</v>
      </c>
      <c r="T470" s="32">
        <v>290</v>
      </c>
      <c r="U470" s="31">
        <v>16</v>
      </c>
      <c r="V470" s="70">
        <v>0</v>
      </c>
    </row>
    <row r="471" spans="1:22" s="53" customFormat="1" x14ac:dyDescent="0.35">
      <c r="A471" s="2">
        <v>43143</v>
      </c>
      <c r="B471" s="3">
        <f t="shared" si="27"/>
        <v>2018</v>
      </c>
      <c r="C471" s="3">
        <f t="shared" si="28"/>
        <v>2</v>
      </c>
      <c r="D471" s="3">
        <f t="shared" si="29"/>
        <v>12</v>
      </c>
      <c r="E471" s="68">
        <v>24.4</v>
      </c>
      <c r="F471" s="68">
        <v>28</v>
      </c>
      <c r="G471" s="68">
        <v>27.4</v>
      </c>
      <c r="H471" s="34">
        <v>26.049999999999997</v>
      </c>
      <c r="I471" s="27">
        <v>30</v>
      </c>
      <c r="J471" s="27">
        <v>24.4</v>
      </c>
      <c r="K471" s="28">
        <v>1</v>
      </c>
      <c r="L471" s="35">
        <v>25</v>
      </c>
      <c r="M471" s="45"/>
      <c r="N471" s="29">
        <v>1011.2583333333336</v>
      </c>
      <c r="O471" s="30">
        <v>94.888831355780709</v>
      </c>
      <c r="P471" s="30">
        <v>78.862825048094408</v>
      </c>
      <c r="Q471" s="30">
        <v>89.023257114570399</v>
      </c>
      <c r="R471" s="8">
        <v>89.415936218556553</v>
      </c>
      <c r="S471" s="31">
        <v>7.0476190476190474</v>
      </c>
      <c r="T471" s="32">
        <v>260</v>
      </c>
      <c r="U471" s="31">
        <v>18</v>
      </c>
      <c r="V471" s="70">
        <v>0</v>
      </c>
    </row>
    <row r="472" spans="1:22" s="53" customFormat="1" x14ac:dyDescent="0.35">
      <c r="A472" s="2">
        <v>43144</v>
      </c>
      <c r="B472" s="3">
        <f t="shared" si="27"/>
        <v>2018</v>
      </c>
      <c r="C472" s="3">
        <f t="shared" si="28"/>
        <v>2</v>
      </c>
      <c r="D472" s="3">
        <f t="shared" si="29"/>
        <v>13</v>
      </c>
      <c r="E472" s="68">
        <v>25</v>
      </c>
      <c r="F472" s="68">
        <v>26.1</v>
      </c>
      <c r="G472" s="68">
        <v>26.9</v>
      </c>
      <c r="H472" s="34">
        <v>25.75</v>
      </c>
      <c r="I472" s="27">
        <v>29.6</v>
      </c>
      <c r="J472" s="27">
        <v>24.4</v>
      </c>
      <c r="K472" s="28">
        <v>0.9</v>
      </c>
      <c r="L472" s="35">
        <v>51.249999999999993</v>
      </c>
      <c r="M472" s="45"/>
      <c r="N472" s="29">
        <v>1011.5083333333333</v>
      </c>
      <c r="O472" s="30">
        <v>90.027057604817841</v>
      </c>
      <c r="P472" s="30">
        <v>91.069929187391182</v>
      </c>
      <c r="Q472" s="30">
        <v>82.810845082889202</v>
      </c>
      <c r="R472" s="8">
        <v>88.48372236997902</v>
      </c>
      <c r="S472" s="31">
        <v>8.0416666666666661</v>
      </c>
      <c r="T472" s="32">
        <v>270</v>
      </c>
      <c r="U472" s="31">
        <v>17</v>
      </c>
      <c r="V472" s="70">
        <v>0</v>
      </c>
    </row>
    <row r="473" spans="1:22" s="53" customFormat="1" x14ac:dyDescent="0.35">
      <c r="A473" s="2">
        <v>43145</v>
      </c>
      <c r="B473" s="3">
        <f t="shared" si="27"/>
        <v>2018</v>
      </c>
      <c r="C473" s="3">
        <f t="shared" si="28"/>
        <v>2</v>
      </c>
      <c r="D473" s="3">
        <f t="shared" si="29"/>
        <v>14</v>
      </c>
      <c r="E473" s="68">
        <v>24.8</v>
      </c>
      <c r="F473" s="68">
        <v>30</v>
      </c>
      <c r="G473" s="68">
        <v>27.8</v>
      </c>
      <c r="H473" s="34">
        <v>26.849999999999998</v>
      </c>
      <c r="I473" s="27">
        <v>30.6</v>
      </c>
      <c r="J473" s="27">
        <v>23.8</v>
      </c>
      <c r="K473" s="28">
        <v>0</v>
      </c>
      <c r="L473" s="35">
        <v>25</v>
      </c>
      <c r="M473" s="45"/>
      <c r="N473" s="29">
        <v>1010.8916666666665</v>
      </c>
      <c r="O473" s="30">
        <v>89.981235669882466</v>
      </c>
      <c r="P473" s="30">
        <v>71.656413867132713</v>
      </c>
      <c r="Q473" s="30">
        <v>80.226907736002246</v>
      </c>
      <c r="R473" s="8">
        <v>82.961448235724973</v>
      </c>
      <c r="S473" s="31">
        <v>6.791666666666667</v>
      </c>
      <c r="T473" s="32">
        <v>250</v>
      </c>
      <c r="U473" s="31">
        <v>14</v>
      </c>
      <c r="V473" s="70">
        <v>0</v>
      </c>
    </row>
    <row r="474" spans="1:22" s="53" customFormat="1" x14ac:dyDescent="0.35">
      <c r="A474" s="2">
        <v>43146</v>
      </c>
      <c r="B474" s="3">
        <f t="shared" si="27"/>
        <v>2018</v>
      </c>
      <c r="C474" s="3">
        <f t="shared" si="28"/>
        <v>2</v>
      </c>
      <c r="D474" s="3">
        <f t="shared" si="29"/>
        <v>15</v>
      </c>
      <c r="E474" s="68">
        <v>23.9</v>
      </c>
      <c r="F474" s="68">
        <v>28</v>
      </c>
      <c r="G474" s="68">
        <v>25.4</v>
      </c>
      <c r="H474" s="34">
        <v>25.299999999999997</v>
      </c>
      <c r="I474" s="27">
        <v>29.6</v>
      </c>
      <c r="J474" s="27">
        <v>23.7</v>
      </c>
      <c r="K474" s="28">
        <v>15.5</v>
      </c>
      <c r="L474" s="35">
        <v>32.5</v>
      </c>
      <c r="M474" s="45"/>
      <c r="N474" s="29">
        <v>1011.3249999999998</v>
      </c>
      <c r="O474" s="30">
        <v>93.127837387111256</v>
      </c>
      <c r="P474" s="30">
        <v>84.679432387736597</v>
      </c>
      <c r="Q474" s="30">
        <v>95.008097398707775</v>
      </c>
      <c r="R474" s="8">
        <v>91.485801140166714</v>
      </c>
      <c r="S474" s="31">
        <v>5.791666666666667</v>
      </c>
      <c r="T474" s="32">
        <v>280</v>
      </c>
      <c r="U474" s="31">
        <v>20</v>
      </c>
      <c r="V474" s="70">
        <v>0</v>
      </c>
    </row>
    <row r="475" spans="1:22" s="53" customFormat="1" x14ac:dyDescent="0.35">
      <c r="A475" s="2">
        <v>43147</v>
      </c>
      <c r="B475" s="3">
        <f t="shared" si="27"/>
        <v>2018</v>
      </c>
      <c r="C475" s="3">
        <f t="shared" si="28"/>
        <v>2</v>
      </c>
      <c r="D475" s="3">
        <f t="shared" si="29"/>
        <v>16</v>
      </c>
      <c r="E475" s="68">
        <v>24.2</v>
      </c>
      <c r="F475" s="68">
        <v>28.6</v>
      </c>
      <c r="G475" s="68">
        <v>28.2</v>
      </c>
      <c r="H475" s="34">
        <v>26.3</v>
      </c>
      <c r="I475" s="27">
        <v>30.2</v>
      </c>
      <c r="J475" s="27">
        <v>23.8</v>
      </c>
      <c r="K475" s="28" t="s">
        <v>9</v>
      </c>
      <c r="L475" s="35">
        <v>26.25</v>
      </c>
      <c r="M475" s="45"/>
      <c r="N475" s="29">
        <v>1009.2541666666666</v>
      </c>
      <c r="O475" s="30">
        <v>91.503380558186052</v>
      </c>
      <c r="P475" s="30">
        <v>76.328708934269969</v>
      </c>
      <c r="Q475" s="30">
        <v>81.84633208381581</v>
      </c>
      <c r="R475" s="8">
        <v>85.295450533614471</v>
      </c>
      <c r="S475" s="31">
        <v>6.166666666666667</v>
      </c>
      <c r="T475" s="32">
        <v>290</v>
      </c>
      <c r="U475" s="31">
        <v>15</v>
      </c>
      <c r="V475" s="70">
        <v>0</v>
      </c>
    </row>
    <row r="476" spans="1:22" s="53" customFormat="1" x14ac:dyDescent="0.35">
      <c r="A476" s="2">
        <v>43148</v>
      </c>
      <c r="B476" s="3">
        <f t="shared" si="27"/>
        <v>2018</v>
      </c>
      <c r="C476" s="3">
        <f t="shared" si="28"/>
        <v>2</v>
      </c>
      <c r="D476" s="3">
        <f t="shared" si="29"/>
        <v>17</v>
      </c>
      <c r="E476" s="68">
        <v>24</v>
      </c>
      <c r="F476" s="68">
        <v>29.2</v>
      </c>
      <c r="G476" s="68">
        <v>28.6</v>
      </c>
      <c r="H476" s="34">
        <v>26.450000000000003</v>
      </c>
      <c r="I476" s="27">
        <v>30</v>
      </c>
      <c r="J476" s="27">
        <v>24</v>
      </c>
      <c r="K476" s="28" t="s">
        <v>9</v>
      </c>
      <c r="L476" s="35">
        <v>82.5</v>
      </c>
      <c r="M476" s="45"/>
      <c r="N476" s="29">
        <v>1008.4083333333333</v>
      </c>
      <c r="O476" s="30">
        <v>91.467672177648325</v>
      </c>
      <c r="P476" s="30">
        <v>75.259985673239939</v>
      </c>
      <c r="Q476" s="30">
        <v>79.154309564779865</v>
      </c>
      <c r="R476" s="8">
        <v>84.337409898329113</v>
      </c>
      <c r="S476" s="31">
        <v>6.5217391304347823</v>
      </c>
      <c r="T476" s="32">
        <v>250</v>
      </c>
      <c r="U476" s="31">
        <v>14</v>
      </c>
      <c r="V476" s="70">
        <v>0</v>
      </c>
    </row>
    <row r="477" spans="1:22" s="53" customFormat="1" x14ac:dyDescent="0.35">
      <c r="A477" s="2">
        <v>43149</v>
      </c>
      <c r="B477" s="3">
        <f t="shared" si="27"/>
        <v>2018</v>
      </c>
      <c r="C477" s="3">
        <f t="shared" si="28"/>
        <v>2</v>
      </c>
      <c r="D477" s="3">
        <f t="shared" si="29"/>
        <v>18</v>
      </c>
      <c r="E477" s="68">
        <v>24.4</v>
      </c>
      <c r="F477" s="68">
        <v>30.3</v>
      </c>
      <c r="G477" s="68">
        <v>28</v>
      </c>
      <c r="H477" s="34">
        <v>26.774999999999999</v>
      </c>
      <c r="I477" s="27">
        <v>30.8</v>
      </c>
      <c r="J477" s="27">
        <v>24.4</v>
      </c>
      <c r="K477" s="28">
        <v>0</v>
      </c>
      <c r="L477" s="35">
        <v>87.5</v>
      </c>
      <c r="M477" s="45"/>
      <c r="N477" s="29">
        <v>1008.7458333333334</v>
      </c>
      <c r="O477" s="30">
        <v>93.215408162179557</v>
      </c>
      <c r="P477" s="30">
        <v>68.609659316353515</v>
      </c>
      <c r="Q477" s="30">
        <v>84.697088072279271</v>
      </c>
      <c r="R477" s="8">
        <v>84.934390928247979</v>
      </c>
      <c r="S477" s="31">
        <v>5.708333333333333</v>
      </c>
      <c r="T477" s="32">
        <v>260</v>
      </c>
      <c r="U477" s="31">
        <v>11</v>
      </c>
      <c r="V477" s="70">
        <v>0</v>
      </c>
    </row>
    <row r="478" spans="1:22" s="53" customFormat="1" x14ac:dyDescent="0.35">
      <c r="A478" s="2">
        <v>43150</v>
      </c>
      <c r="B478" s="3">
        <f t="shared" si="27"/>
        <v>2018</v>
      </c>
      <c r="C478" s="3">
        <f t="shared" si="28"/>
        <v>2</v>
      </c>
      <c r="D478" s="3">
        <f t="shared" si="29"/>
        <v>19</v>
      </c>
      <c r="E478" s="68">
        <v>24.4</v>
      </c>
      <c r="F478" s="68">
        <v>30.6</v>
      </c>
      <c r="G478" s="68">
        <v>28.1</v>
      </c>
      <c r="H478" s="34">
        <v>26.875</v>
      </c>
      <c r="I478" s="27">
        <v>31.4</v>
      </c>
      <c r="J478" s="27">
        <v>24.3</v>
      </c>
      <c r="K478" s="28">
        <v>0.2</v>
      </c>
      <c r="L478" s="35">
        <v>87.5</v>
      </c>
      <c r="M478" s="45"/>
      <c r="N478" s="29">
        <v>1008.4499999999998</v>
      </c>
      <c r="O478" s="30">
        <v>96.582635218981821</v>
      </c>
      <c r="P478" s="30">
        <v>70.718412272309621</v>
      </c>
      <c r="Q478" s="30">
        <v>83.993883892278248</v>
      </c>
      <c r="R478" s="8">
        <v>86.969391650637874</v>
      </c>
      <c r="S478" s="31">
        <v>5</v>
      </c>
      <c r="T478" s="32">
        <v>260</v>
      </c>
      <c r="U478" s="31">
        <v>11</v>
      </c>
      <c r="V478" s="70">
        <v>0</v>
      </c>
    </row>
    <row r="479" spans="1:22" s="53" customFormat="1" x14ac:dyDescent="0.35">
      <c r="A479" s="2">
        <v>43151</v>
      </c>
      <c r="B479" s="3">
        <f t="shared" si="27"/>
        <v>2018</v>
      </c>
      <c r="C479" s="3">
        <f t="shared" si="28"/>
        <v>2</v>
      </c>
      <c r="D479" s="3">
        <f t="shared" si="29"/>
        <v>20</v>
      </c>
      <c r="E479" s="68">
        <v>24.3</v>
      </c>
      <c r="F479" s="68">
        <v>30.4</v>
      </c>
      <c r="G479" s="68">
        <v>29</v>
      </c>
      <c r="H479" s="34">
        <v>27</v>
      </c>
      <c r="I479" s="27">
        <v>31</v>
      </c>
      <c r="J479" s="27">
        <v>23.8</v>
      </c>
      <c r="K479" s="28">
        <v>49.2</v>
      </c>
      <c r="L479" s="35">
        <v>68.75</v>
      </c>
      <c r="M479" s="45"/>
      <c r="N479" s="29">
        <v>1008.1791666666668</v>
      </c>
      <c r="O479" s="30">
        <v>96.574547742419554</v>
      </c>
      <c r="P479" s="30">
        <v>69.316627760993782</v>
      </c>
      <c r="Q479" s="30">
        <v>77.934428758817177</v>
      </c>
      <c r="R479" s="8">
        <v>85.100038001162517</v>
      </c>
      <c r="S479" s="31">
        <v>4.75</v>
      </c>
      <c r="T479" s="32">
        <v>240</v>
      </c>
      <c r="U479" s="31">
        <v>11</v>
      </c>
      <c r="V479" s="70">
        <v>0</v>
      </c>
    </row>
    <row r="480" spans="1:22" s="53" customFormat="1" x14ac:dyDescent="0.35">
      <c r="A480" s="2">
        <v>43152</v>
      </c>
      <c r="B480" s="3">
        <f t="shared" si="27"/>
        <v>2018</v>
      </c>
      <c r="C480" s="3">
        <f t="shared" si="28"/>
        <v>2</v>
      </c>
      <c r="D480" s="3">
        <f t="shared" si="29"/>
        <v>21</v>
      </c>
      <c r="E480" s="68">
        <v>24</v>
      </c>
      <c r="F480" s="68">
        <v>30</v>
      </c>
      <c r="G480" s="68">
        <v>28.6</v>
      </c>
      <c r="H480" s="34">
        <v>26.65</v>
      </c>
      <c r="I480" s="27">
        <v>30.4</v>
      </c>
      <c r="J480" s="27">
        <v>24</v>
      </c>
      <c r="K480" s="28">
        <v>2.2000000000000002</v>
      </c>
      <c r="L480" s="35">
        <v>53.75</v>
      </c>
      <c r="M480" s="45"/>
      <c r="N480" s="29">
        <v>1006.75</v>
      </c>
      <c r="O480" s="30">
        <v>97.40952317405835</v>
      </c>
      <c r="P480" s="30">
        <v>75.674857885131658</v>
      </c>
      <c r="Q480" s="30">
        <v>76.357939030754935</v>
      </c>
      <c r="R480" s="8">
        <v>86.71296081600083</v>
      </c>
      <c r="S480" s="31" t="e">
        <v>#N/A</v>
      </c>
      <c r="T480" s="32">
        <v>320</v>
      </c>
      <c r="U480" s="31" t="e">
        <v>#N/A</v>
      </c>
      <c r="V480" s="70">
        <v>0</v>
      </c>
    </row>
    <row r="481" spans="1:22" s="53" customFormat="1" x14ac:dyDescent="0.35">
      <c r="A481" s="2">
        <v>43153</v>
      </c>
      <c r="B481" s="3">
        <f t="shared" si="27"/>
        <v>2018</v>
      </c>
      <c r="C481" s="3">
        <f t="shared" si="28"/>
        <v>2</v>
      </c>
      <c r="D481" s="3">
        <f t="shared" si="29"/>
        <v>22</v>
      </c>
      <c r="E481" s="68">
        <v>24.4</v>
      </c>
      <c r="F481" s="68">
        <v>29.8</v>
      </c>
      <c r="G481" s="68">
        <v>28.4</v>
      </c>
      <c r="H481" s="34">
        <v>26.75</v>
      </c>
      <c r="I481" s="27">
        <v>30.4</v>
      </c>
      <c r="J481" s="27">
        <v>24.2</v>
      </c>
      <c r="K481" s="28">
        <v>0.2</v>
      </c>
      <c r="L481" s="35">
        <v>46.25</v>
      </c>
      <c r="M481" s="45"/>
      <c r="N481" s="29">
        <v>1007.3833333333332</v>
      </c>
      <c r="O481" s="30">
        <v>91.553056194227594</v>
      </c>
      <c r="P481" s="30">
        <v>70.254300922384104</v>
      </c>
      <c r="Q481" s="30">
        <v>80.497547535215617</v>
      </c>
      <c r="R481" s="8">
        <v>83.464490211513734</v>
      </c>
      <c r="S481" s="31">
        <v>4.0454545454545459</v>
      </c>
      <c r="T481" s="32">
        <v>310</v>
      </c>
      <c r="U481" s="31">
        <v>7</v>
      </c>
      <c r="V481" s="70">
        <v>0</v>
      </c>
    </row>
    <row r="482" spans="1:22" s="53" customFormat="1" x14ac:dyDescent="0.35">
      <c r="A482" s="2">
        <v>43154</v>
      </c>
      <c r="B482" s="3">
        <f t="shared" si="27"/>
        <v>2018</v>
      </c>
      <c r="C482" s="3">
        <f t="shared" si="28"/>
        <v>2</v>
      </c>
      <c r="D482" s="3">
        <f t="shared" si="29"/>
        <v>23</v>
      </c>
      <c r="E482" s="68">
        <v>24.4</v>
      </c>
      <c r="F482" s="68">
        <v>29.3</v>
      </c>
      <c r="G482" s="68">
        <v>28.4</v>
      </c>
      <c r="H482" s="34">
        <v>26.625</v>
      </c>
      <c r="I482" s="27">
        <v>33</v>
      </c>
      <c r="J482" s="27">
        <v>24.4</v>
      </c>
      <c r="K482" s="28">
        <v>0.9</v>
      </c>
      <c r="L482" s="35">
        <v>76.25</v>
      </c>
      <c r="M482" s="45"/>
      <c r="N482" s="29">
        <v>1008.8083333333337</v>
      </c>
      <c r="O482" s="30">
        <v>96.582947157691223</v>
      </c>
      <c r="P482" s="30">
        <v>75.991085856390711</v>
      </c>
      <c r="Q482" s="30">
        <v>80.486335133673293</v>
      </c>
      <c r="R482" s="8">
        <v>87.410828826361609</v>
      </c>
      <c r="S482" s="31">
        <v>4.333333333333333</v>
      </c>
      <c r="T482" s="32">
        <v>210</v>
      </c>
      <c r="U482" s="31">
        <v>8</v>
      </c>
      <c r="V482" s="70">
        <v>0</v>
      </c>
    </row>
    <row r="483" spans="1:22" s="53" customFormat="1" x14ac:dyDescent="0.35">
      <c r="A483" s="2">
        <v>43155</v>
      </c>
      <c r="B483" s="3">
        <f t="shared" si="27"/>
        <v>2018</v>
      </c>
      <c r="C483" s="3">
        <f t="shared" si="28"/>
        <v>2</v>
      </c>
      <c r="D483" s="3">
        <f t="shared" si="29"/>
        <v>24</v>
      </c>
      <c r="E483" s="68">
        <v>25</v>
      </c>
      <c r="F483" s="68">
        <v>28.1</v>
      </c>
      <c r="G483" s="68">
        <v>27.8</v>
      </c>
      <c r="H483" s="34">
        <v>26.474999999999998</v>
      </c>
      <c r="I483" s="27">
        <v>28.4</v>
      </c>
      <c r="J483" s="27">
        <v>24.4</v>
      </c>
      <c r="K483" s="28">
        <v>2.2000000000000002</v>
      </c>
      <c r="L483" s="35">
        <v>10</v>
      </c>
      <c r="M483" s="45"/>
      <c r="N483" s="29">
        <v>1010.3416666666664</v>
      </c>
      <c r="O483" s="30">
        <v>96.629436867207261</v>
      </c>
      <c r="P483" s="30">
        <v>83.248383423156085</v>
      </c>
      <c r="Q483" s="30">
        <v>81.683803121224187</v>
      </c>
      <c r="R483" s="8">
        <v>89.547765069698698</v>
      </c>
      <c r="S483" s="31">
        <v>6.1333333333333337</v>
      </c>
      <c r="T483" s="32">
        <v>290</v>
      </c>
      <c r="U483" s="31">
        <v>13</v>
      </c>
      <c r="V483" s="70">
        <v>0</v>
      </c>
    </row>
    <row r="484" spans="1:22" s="53" customFormat="1" x14ac:dyDescent="0.35">
      <c r="A484" s="2">
        <v>43156</v>
      </c>
      <c r="B484" s="3">
        <f t="shared" si="27"/>
        <v>2018</v>
      </c>
      <c r="C484" s="3">
        <f t="shared" si="28"/>
        <v>2</v>
      </c>
      <c r="D484" s="3">
        <f t="shared" si="29"/>
        <v>25</v>
      </c>
      <c r="E484" s="68">
        <v>24.4</v>
      </c>
      <c r="F484" s="68">
        <v>29.2</v>
      </c>
      <c r="G484" s="68">
        <v>28.6</v>
      </c>
      <c r="H484" s="34">
        <v>26.65</v>
      </c>
      <c r="I484" s="27">
        <v>30.6</v>
      </c>
      <c r="J484" s="27">
        <v>24.3</v>
      </c>
      <c r="K484" s="28">
        <v>0.2</v>
      </c>
      <c r="L484" s="35">
        <v>62.5</v>
      </c>
      <c r="M484" s="45"/>
      <c r="N484" s="29">
        <v>1008.4083333333333</v>
      </c>
      <c r="O484" s="30">
        <v>97.431559735579341</v>
      </c>
      <c r="P484" s="30">
        <v>79.402957447079856</v>
      </c>
      <c r="Q484" s="30">
        <v>76.351443453758279</v>
      </c>
      <c r="R484" s="8">
        <v>87.654380092999205</v>
      </c>
      <c r="S484" s="31">
        <v>4.117647058823529</v>
      </c>
      <c r="T484" s="32">
        <v>240</v>
      </c>
      <c r="U484" s="31">
        <v>8</v>
      </c>
      <c r="V484" s="70">
        <v>0</v>
      </c>
    </row>
    <row r="485" spans="1:22" s="53" customFormat="1" x14ac:dyDescent="0.35">
      <c r="A485" s="2">
        <v>43157</v>
      </c>
      <c r="B485" s="3">
        <f t="shared" si="27"/>
        <v>2018</v>
      </c>
      <c r="C485" s="3">
        <f t="shared" si="28"/>
        <v>2</v>
      </c>
      <c r="D485" s="3">
        <f t="shared" si="29"/>
        <v>26</v>
      </c>
      <c r="E485" s="68">
        <v>24.4</v>
      </c>
      <c r="F485" s="68">
        <v>30</v>
      </c>
      <c r="G485" s="68">
        <v>27.8</v>
      </c>
      <c r="H485" s="34">
        <v>26.65</v>
      </c>
      <c r="I485" s="27">
        <v>30.4</v>
      </c>
      <c r="J485" s="27">
        <v>23.4</v>
      </c>
      <c r="K485" s="28">
        <v>40.200000000000003</v>
      </c>
      <c r="L485" s="35">
        <v>6.25</v>
      </c>
      <c r="M485" s="45"/>
      <c r="N485" s="29">
        <v>1008.7583333333333</v>
      </c>
      <c r="O485" s="30">
        <v>94.893198497712234</v>
      </c>
      <c r="P485" s="30">
        <v>72.991101364451737</v>
      </c>
      <c r="Q485" s="30">
        <v>90.642222791862935</v>
      </c>
      <c r="R485" s="8">
        <v>88.354930287934778</v>
      </c>
      <c r="S485" s="31">
        <v>3.5882352941176472</v>
      </c>
      <c r="T485" s="32">
        <v>250</v>
      </c>
      <c r="U485" s="31">
        <v>9</v>
      </c>
      <c r="V485" s="70">
        <v>0</v>
      </c>
    </row>
    <row r="486" spans="1:22" s="53" customFormat="1" x14ac:dyDescent="0.35">
      <c r="A486" s="2">
        <v>43158</v>
      </c>
      <c r="B486" s="3">
        <f t="shared" si="27"/>
        <v>2018</v>
      </c>
      <c r="C486" s="3">
        <f t="shared" si="28"/>
        <v>2</v>
      </c>
      <c r="D486" s="3">
        <f t="shared" si="29"/>
        <v>27</v>
      </c>
      <c r="E486" s="68">
        <v>23.4</v>
      </c>
      <c r="F486" s="68">
        <v>30.8</v>
      </c>
      <c r="G486" s="68">
        <v>29.4</v>
      </c>
      <c r="H486" s="34">
        <v>26.75</v>
      </c>
      <c r="I486" s="27">
        <v>31.4</v>
      </c>
      <c r="J486" s="27">
        <v>23.2</v>
      </c>
      <c r="K486" s="28">
        <v>21</v>
      </c>
      <c r="L486" s="35">
        <v>93.75</v>
      </c>
      <c r="M486" s="45"/>
      <c r="N486" s="29">
        <v>1008.2750000000001</v>
      </c>
      <c r="O486" s="30">
        <v>96.49982063266269</v>
      </c>
      <c r="P486" s="30">
        <v>67.02890151215324</v>
      </c>
      <c r="Q486" s="30">
        <v>71.345179629723887</v>
      </c>
      <c r="R486" s="8">
        <v>82.84343060180062</v>
      </c>
      <c r="S486" s="31">
        <v>4.2105263157894735</v>
      </c>
      <c r="T486" s="32">
        <v>330</v>
      </c>
      <c r="U486" s="31">
        <v>9</v>
      </c>
      <c r="V486" s="70">
        <v>0</v>
      </c>
    </row>
    <row r="487" spans="1:22" s="53" customFormat="1" x14ac:dyDescent="0.35">
      <c r="A487" s="2">
        <v>43159</v>
      </c>
      <c r="B487" s="3">
        <f t="shared" si="27"/>
        <v>2018</v>
      </c>
      <c r="C487" s="3">
        <f t="shared" si="28"/>
        <v>2</v>
      </c>
      <c r="D487" s="3">
        <f t="shared" si="29"/>
        <v>28</v>
      </c>
      <c r="E487" s="68">
        <v>24</v>
      </c>
      <c r="F487" s="68">
        <v>29.2</v>
      </c>
      <c r="G487" s="68">
        <v>28.7</v>
      </c>
      <c r="H487" s="34">
        <v>26.475000000000001</v>
      </c>
      <c r="I487" s="27">
        <v>32</v>
      </c>
      <c r="J487" s="27">
        <v>24</v>
      </c>
      <c r="K487" s="28">
        <v>1.5</v>
      </c>
      <c r="L487" s="35">
        <v>100</v>
      </c>
      <c r="M487" s="45"/>
      <c r="N487" s="29">
        <v>1007.8083333333335</v>
      </c>
      <c r="O487" s="30">
        <v>96.550974417972427</v>
      </c>
      <c r="P487" s="30">
        <v>71.203250089330467</v>
      </c>
      <c r="Q487" s="30">
        <v>81.327643534975934</v>
      </c>
      <c r="R487" s="8">
        <v>86.408210615062814</v>
      </c>
      <c r="S487" s="31">
        <v>3.6</v>
      </c>
      <c r="T487" s="32">
        <v>330</v>
      </c>
      <c r="U487" s="31">
        <v>8</v>
      </c>
      <c r="V487" s="70">
        <v>0</v>
      </c>
    </row>
    <row r="488" spans="1:22" s="53" customFormat="1" x14ac:dyDescent="0.35">
      <c r="A488" s="2">
        <v>43160</v>
      </c>
      <c r="B488" s="3">
        <f t="shared" si="27"/>
        <v>2018</v>
      </c>
      <c r="C488" s="3">
        <f t="shared" si="28"/>
        <v>3</v>
      </c>
      <c r="D488" s="3">
        <f t="shared" si="29"/>
        <v>1</v>
      </c>
      <c r="E488" s="26">
        <v>25.9</v>
      </c>
      <c r="F488" s="26">
        <v>29.8</v>
      </c>
      <c r="G488" s="26">
        <v>27.7</v>
      </c>
      <c r="H488" s="34">
        <v>27.3</v>
      </c>
      <c r="I488" s="27">
        <v>30.6</v>
      </c>
      <c r="J488" s="27">
        <v>24.6</v>
      </c>
      <c r="K488" s="27">
        <v>1.5</v>
      </c>
      <c r="L488" s="35">
        <v>38.75</v>
      </c>
      <c r="M488" s="89" t="s">
        <v>16</v>
      </c>
      <c r="N488" s="29">
        <v>1008.3</v>
      </c>
      <c r="O488" s="30">
        <v>92.658040732021689</v>
      </c>
      <c r="P488" s="30">
        <v>74.270962017708015</v>
      </c>
      <c r="Q488" s="30">
        <v>80.957989531224484</v>
      </c>
      <c r="R488" s="8">
        <v>86</v>
      </c>
      <c r="S488" s="31">
        <v>3</v>
      </c>
      <c r="T488" s="31" t="s">
        <v>19</v>
      </c>
      <c r="U488" s="31">
        <v>9</v>
      </c>
      <c r="V488" s="31" t="s">
        <v>2</v>
      </c>
    </row>
    <row r="489" spans="1:22" s="53" customFormat="1" x14ac:dyDescent="0.35">
      <c r="A489" s="2">
        <v>43161</v>
      </c>
      <c r="B489" s="3">
        <f t="shared" si="27"/>
        <v>2018</v>
      </c>
      <c r="C489" s="3">
        <f t="shared" si="28"/>
        <v>3</v>
      </c>
      <c r="D489" s="3">
        <f t="shared" si="29"/>
        <v>2</v>
      </c>
      <c r="E489" s="26">
        <v>26.2</v>
      </c>
      <c r="F489" s="26">
        <v>30.3</v>
      </c>
      <c r="G489" s="26">
        <v>27.8</v>
      </c>
      <c r="H489" s="34">
        <v>27.8</v>
      </c>
      <c r="I489" s="27">
        <v>31.5</v>
      </c>
      <c r="J489" s="27">
        <v>25.4</v>
      </c>
      <c r="K489" s="27" t="s">
        <v>9</v>
      </c>
      <c r="L489" s="35">
        <v>50</v>
      </c>
      <c r="M489" s="89" t="s">
        <v>11</v>
      </c>
      <c r="N489" s="29">
        <v>1008.6</v>
      </c>
      <c r="O489" s="30">
        <v>90.329253075595716</v>
      </c>
      <c r="P489" s="30">
        <v>75.190025159787695</v>
      </c>
      <c r="Q489" s="30">
        <v>86.143678247326065</v>
      </c>
      <c r="R489" s="8">
        <v>84</v>
      </c>
      <c r="S489" s="31">
        <v>2.7083333333333335</v>
      </c>
      <c r="T489" s="31" t="s">
        <v>19</v>
      </c>
      <c r="U489" s="31">
        <v>10</v>
      </c>
      <c r="V489" s="31" t="s">
        <v>5</v>
      </c>
    </row>
    <row r="490" spans="1:22" s="53" customFormat="1" x14ac:dyDescent="0.35">
      <c r="A490" s="2">
        <v>43162</v>
      </c>
      <c r="B490" s="3">
        <f t="shared" si="27"/>
        <v>2018</v>
      </c>
      <c r="C490" s="3">
        <f t="shared" si="28"/>
        <v>3</v>
      </c>
      <c r="D490" s="3">
        <f t="shared" si="29"/>
        <v>3</v>
      </c>
      <c r="E490" s="26">
        <v>26</v>
      </c>
      <c r="F490" s="26">
        <v>30</v>
      </c>
      <c r="G490" s="26">
        <v>28.6</v>
      </c>
      <c r="H490" s="34">
        <v>27.5</v>
      </c>
      <c r="I490" s="27">
        <v>30.8</v>
      </c>
      <c r="J490" s="27">
        <v>24</v>
      </c>
      <c r="K490" s="27">
        <v>0.6</v>
      </c>
      <c r="L490" s="35">
        <v>36.25</v>
      </c>
      <c r="M490" s="89" t="s">
        <v>17</v>
      </c>
      <c r="N490" s="29">
        <v>1008.1</v>
      </c>
      <c r="O490" s="30">
        <v>91.875379228323595</v>
      </c>
      <c r="P490" s="30">
        <v>74.37439491091294</v>
      </c>
      <c r="Q490" s="30">
        <v>83.468729637313217</v>
      </c>
      <c r="R490" s="8">
        <v>86</v>
      </c>
      <c r="S490" s="31">
        <v>3.75</v>
      </c>
      <c r="T490" s="31" t="s">
        <v>19</v>
      </c>
      <c r="U490" s="31">
        <v>12</v>
      </c>
      <c r="V490" s="31" t="s">
        <v>1</v>
      </c>
    </row>
    <row r="491" spans="1:22" s="53" customFormat="1" x14ac:dyDescent="0.35">
      <c r="A491" s="2">
        <v>43163</v>
      </c>
      <c r="B491" s="3">
        <f t="shared" si="27"/>
        <v>2018</v>
      </c>
      <c r="C491" s="3">
        <f t="shared" si="28"/>
        <v>3</v>
      </c>
      <c r="D491" s="3">
        <f t="shared" si="29"/>
        <v>4</v>
      </c>
      <c r="E491" s="26">
        <v>25.6</v>
      </c>
      <c r="F491" s="26">
        <v>31.2</v>
      </c>
      <c r="G491" s="26">
        <v>28.8</v>
      </c>
      <c r="H491" s="34">
        <v>28.2</v>
      </c>
      <c r="I491" s="27">
        <v>31.8</v>
      </c>
      <c r="J491" s="27">
        <v>25.4</v>
      </c>
      <c r="K491" s="27">
        <v>12</v>
      </c>
      <c r="L491" s="35">
        <v>88.75</v>
      </c>
      <c r="M491" s="89" t="s">
        <v>13</v>
      </c>
      <c r="N491" s="29">
        <v>1008.5</v>
      </c>
      <c r="O491" s="30">
        <v>95.045080078480566</v>
      </c>
      <c r="P491" s="30">
        <v>71.119776367151829</v>
      </c>
      <c r="Q491" s="30">
        <v>82.106146101297185</v>
      </c>
      <c r="R491" s="8">
        <v>85</v>
      </c>
      <c r="S491" s="31">
        <v>2.875</v>
      </c>
      <c r="T491" s="31" t="s">
        <v>19</v>
      </c>
      <c r="U491" s="31">
        <v>9</v>
      </c>
      <c r="V491" s="31" t="s">
        <v>2</v>
      </c>
    </row>
    <row r="492" spans="1:22" s="53" customFormat="1" x14ac:dyDescent="0.35">
      <c r="A492" s="2">
        <v>43164</v>
      </c>
      <c r="B492" s="3">
        <f t="shared" si="27"/>
        <v>2018</v>
      </c>
      <c r="C492" s="3">
        <f t="shared" si="28"/>
        <v>3</v>
      </c>
      <c r="D492" s="3">
        <f t="shared" si="29"/>
        <v>5</v>
      </c>
      <c r="E492" s="26">
        <v>26.3</v>
      </c>
      <c r="F492" s="26">
        <v>29.3</v>
      </c>
      <c r="G492" s="26">
        <v>27.4</v>
      </c>
      <c r="H492" s="34">
        <v>26.7</v>
      </c>
      <c r="I492" s="27">
        <v>30.4</v>
      </c>
      <c r="J492" s="27">
        <v>24</v>
      </c>
      <c r="K492" s="27" t="s">
        <v>9</v>
      </c>
      <c r="L492" s="35">
        <v>35</v>
      </c>
      <c r="M492" s="89" t="s">
        <v>11</v>
      </c>
      <c r="N492" s="29">
        <v>1008.8</v>
      </c>
      <c r="O492" s="30">
        <v>95.122233571593469</v>
      </c>
      <c r="P492" s="30">
        <v>78.793925354161658</v>
      </c>
      <c r="Q492" s="30">
        <v>86.776699818575224</v>
      </c>
      <c r="R492" s="8">
        <v>89</v>
      </c>
      <c r="S492" s="31">
        <v>2.2083333333333335</v>
      </c>
      <c r="T492" s="31" t="s">
        <v>19</v>
      </c>
      <c r="U492" s="31">
        <v>8</v>
      </c>
      <c r="V492" s="31" t="s">
        <v>2</v>
      </c>
    </row>
    <row r="493" spans="1:22" s="53" customFormat="1" x14ac:dyDescent="0.35">
      <c r="A493" s="2">
        <v>43165</v>
      </c>
      <c r="B493" s="3">
        <f t="shared" si="27"/>
        <v>2018</v>
      </c>
      <c r="C493" s="3">
        <f t="shared" si="28"/>
        <v>3</v>
      </c>
      <c r="D493" s="3">
        <f t="shared" si="29"/>
        <v>6</v>
      </c>
      <c r="E493" s="26">
        <v>24.7</v>
      </c>
      <c r="F493" s="26">
        <v>30.9</v>
      </c>
      <c r="G493" s="26">
        <v>28.2</v>
      </c>
      <c r="H493" s="34">
        <v>27.9</v>
      </c>
      <c r="I493" s="27">
        <v>31.4</v>
      </c>
      <c r="J493" s="27">
        <v>24.7</v>
      </c>
      <c r="K493" s="27" t="s">
        <v>12</v>
      </c>
      <c r="L493" s="35">
        <v>97.5</v>
      </c>
      <c r="M493" s="89" t="s">
        <v>13</v>
      </c>
      <c r="N493" s="29">
        <v>1009.3</v>
      </c>
      <c r="O493" s="30">
        <v>95.776939219542612</v>
      </c>
      <c r="P493" s="30">
        <v>69.044118504235925</v>
      </c>
      <c r="Q493" s="30">
        <v>84.789659367472794</v>
      </c>
      <c r="R493" s="8">
        <v>84</v>
      </c>
      <c r="S493" s="31">
        <v>3.375</v>
      </c>
      <c r="T493" s="31" t="s">
        <v>19</v>
      </c>
      <c r="U493" s="31">
        <v>10</v>
      </c>
      <c r="V493" s="31" t="s">
        <v>1</v>
      </c>
    </row>
    <row r="494" spans="1:22" s="53" customFormat="1" x14ac:dyDescent="0.35">
      <c r="A494" s="2">
        <v>43166</v>
      </c>
      <c r="B494" s="3">
        <f t="shared" si="27"/>
        <v>2018</v>
      </c>
      <c r="C494" s="3">
        <f t="shared" si="28"/>
        <v>3</v>
      </c>
      <c r="D494" s="3">
        <f t="shared" si="29"/>
        <v>7</v>
      </c>
      <c r="E494" s="26">
        <v>26</v>
      </c>
      <c r="F494" s="26">
        <v>30.8</v>
      </c>
      <c r="G494" s="26">
        <v>25.6</v>
      </c>
      <c r="H494" s="34">
        <v>26.5</v>
      </c>
      <c r="I494" s="27">
        <v>31.2</v>
      </c>
      <c r="J494" s="27">
        <v>24.2</v>
      </c>
      <c r="K494" s="27" t="s">
        <v>9</v>
      </c>
      <c r="L494" s="35">
        <v>62.5</v>
      </c>
      <c r="M494" s="89" t="s">
        <v>17</v>
      </c>
      <c r="N494" s="29">
        <v>1007.8</v>
      </c>
      <c r="O494" s="30">
        <v>91.875379228323595</v>
      </c>
      <c r="P494" s="30">
        <v>70.893374555716719</v>
      </c>
      <c r="Q494" s="30">
        <v>87.024329978942021</v>
      </c>
      <c r="R494" s="8">
        <v>86</v>
      </c>
      <c r="S494" s="31">
        <v>2.7083333333333335</v>
      </c>
      <c r="T494" s="31" t="s">
        <v>19</v>
      </c>
      <c r="U494" s="31">
        <v>9</v>
      </c>
      <c r="V494" s="31" t="s">
        <v>1</v>
      </c>
    </row>
    <row r="495" spans="1:22" s="53" customFormat="1" x14ac:dyDescent="0.35">
      <c r="A495" s="2">
        <v>43167</v>
      </c>
      <c r="B495" s="3">
        <f t="shared" si="27"/>
        <v>2018</v>
      </c>
      <c r="C495" s="3">
        <f t="shared" si="28"/>
        <v>3</v>
      </c>
      <c r="D495" s="3">
        <f t="shared" si="29"/>
        <v>8</v>
      </c>
      <c r="E495" s="26">
        <v>25.2</v>
      </c>
      <c r="F495" s="26">
        <v>29.8</v>
      </c>
      <c r="G495" s="26">
        <v>27.9</v>
      </c>
      <c r="H495" s="34">
        <v>27</v>
      </c>
      <c r="I495" s="27">
        <v>30.2</v>
      </c>
      <c r="J495" s="27">
        <v>24.6</v>
      </c>
      <c r="K495" s="27">
        <v>3.6</v>
      </c>
      <c r="L495" s="35">
        <v>17.5</v>
      </c>
      <c r="M495" s="89" t="s">
        <v>18</v>
      </c>
      <c r="N495" s="29">
        <v>1008.1</v>
      </c>
      <c r="O495" s="30">
        <v>93.357066109442584</v>
      </c>
      <c r="P495" s="30">
        <v>75.611927333242306</v>
      </c>
      <c r="Q495" s="30">
        <v>79.596485938469812</v>
      </c>
      <c r="R495" s="8">
        <v>86</v>
      </c>
      <c r="S495" s="31">
        <v>2.4166666666666665</v>
      </c>
      <c r="T495" s="31" t="s">
        <v>19</v>
      </c>
      <c r="U495" s="88">
        <v>9</v>
      </c>
      <c r="V495" s="88" t="s">
        <v>2</v>
      </c>
    </row>
    <row r="496" spans="1:22" s="53" customFormat="1" x14ac:dyDescent="0.35">
      <c r="A496" s="2">
        <v>43168</v>
      </c>
      <c r="B496" s="3">
        <f t="shared" si="27"/>
        <v>2018</v>
      </c>
      <c r="C496" s="3">
        <f t="shared" si="28"/>
        <v>3</v>
      </c>
      <c r="D496" s="3">
        <f t="shared" si="29"/>
        <v>9</v>
      </c>
      <c r="E496" s="26">
        <v>25.3</v>
      </c>
      <c r="F496" s="26">
        <v>30.1</v>
      </c>
      <c r="G496" s="26">
        <v>28.8</v>
      </c>
      <c r="H496" s="34">
        <v>26.9</v>
      </c>
      <c r="I496" s="27">
        <v>31.2</v>
      </c>
      <c r="J496" s="27">
        <v>24</v>
      </c>
      <c r="K496" s="27" t="s">
        <v>9</v>
      </c>
      <c r="L496" s="35">
        <v>28.749999999999996</v>
      </c>
      <c r="M496" s="89" t="s">
        <v>17</v>
      </c>
      <c r="N496" s="29">
        <v>1008.3</v>
      </c>
      <c r="O496" s="30">
        <v>95.011114940258096</v>
      </c>
      <c r="P496" s="30">
        <v>72.444939296118292</v>
      </c>
      <c r="Q496" s="30">
        <v>82.106146101297185</v>
      </c>
      <c r="R496" s="8">
        <v>88</v>
      </c>
      <c r="S496" s="31">
        <v>2.7916666666666665</v>
      </c>
      <c r="T496" s="31" t="s">
        <v>19</v>
      </c>
      <c r="U496" s="31">
        <v>10</v>
      </c>
      <c r="V496" s="31" t="s">
        <v>6</v>
      </c>
    </row>
    <row r="497" spans="1:22" s="53" customFormat="1" x14ac:dyDescent="0.35">
      <c r="A497" s="2">
        <v>43169</v>
      </c>
      <c r="B497" s="3">
        <f t="shared" si="27"/>
        <v>2018</v>
      </c>
      <c r="C497" s="3">
        <f t="shared" si="28"/>
        <v>3</v>
      </c>
      <c r="D497" s="3">
        <f t="shared" si="29"/>
        <v>10</v>
      </c>
      <c r="E497" s="26">
        <v>24.6</v>
      </c>
      <c r="F497" s="26">
        <v>30.2</v>
      </c>
      <c r="G497" s="26">
        <v>27.7</v>
      </c>
      <c r="H497" s="34">
        <v>27.5</v>
      </c>
      <c r="I497" s="27">
        <v>31.3</v>
      </c>
      <c r="J497" s="27">
        <v>24</v>
      </c>
      <c r="K497" s="27">
        <v>31</v>
      </c>
      <c r="L497" s="35">
        <v>93.75</v>
      </c>
      <c r="M497" s="89" t="s">
        <v>17</v>
      </c>
      <c r="N497" s="29">
        <v>1008.7</v>
      </c>
      <c r="O497" s="30">
        <v>96.607513339090517</v>
      </c>
      <c r="P497" s="30">
        <v>77.146746699164311</v>
      </c>
      <c r="Q497" s="30">
        <v>84.627371532089086</v>
      </c>
      <c r="R497" s="8">
        <v>87</v>
      </c>
      <c r="S497" s="31">
        <v>3.875</v>
      </c>
      <c r="T497" s="31" t="s">
        <v>4</v>
      </c>
      <c r="U497" s="31">
        <v>12</v>
      </c>
      <c r="V497" s="31" t="s">
        <v>2</v>
      </c>
    </row>
    <row r="498" spans="1:22" s="53" customFormat="1" x14ac:dyDescent="0.35">
      <c r="A498" s="2">
        <v>43170</v>
      </c>
      <c r="B498" s="3">
        <f t="shared" si="27"/>
        <v>2018</v>
      </c>
      <c r="C498" s="3">
        <f t="shared" si="28"/>
        <v>3</v>
      </c>
      <c r="D498" s="3">
        <f t="shared" si="29"/>
        <v>11</v>
      </c>
      <c r="E498" s="26">
        <v>24.8</v>
      </c>
      <c r="F498" s="26">
        <v>29.7</v>
      </c>
      <c r="G498" s="26">
        <v>27.4</v>
      </c>
      <c r="H498" s="34">
        <v>26.8</v>
      </c>
      <c r="I498" s="27">
        <v>30</v>
      </c>
      <c r="J498" s="27">
        <v>23.8</v>
      </c>
      <c r="K498" s="27">
        <v>0.5</v>
      </c>
      <c r="L498" s="35">
        <v>47.5</v>
      </c>
      <c r="M498" s="89" t="s">
        <v>17</v>
      </c>
      <c r="N498" s="29">
        <v>1009.3</v>
      </c>
      <c r="O498" s="30">
        <v>93.295342494094442</v>
      </c>
      <c r="P498" s="30">
        <v>69.592880395118712</v>
      </c>
      <c r="Q498" s="30">
        <v>84.527934575684071</v>
      </c>
      <c r="R498" s="8">
        <v>88</v>
      </c>
      <c r="S498" s="31">
        <v>2.9166666666666665</v>
      </c>
      <c r="T498" s="31" t="s">
        <v>19</v>
      </c>
      <c r="U498" s="31">
        <v>7</v>
      </c>
      <c r="V498" s="31" t="s">
        <v>7</v>
      </c>
    </row>
    <row r="499" spans="1:22" s="53" customFormat="1" x14ac:dyDescent="0.35">
      <c r="A499" s="2">
        <v>43171</v>
      </c>
      <c r="B499" s="3">
        <f t="shared" si="27"/>
        <v>2018</v>
      </c>
      <c r="C499" s="3">
        <f t="shared" si="28"/>
        <v>3</v>
      </c>
      <c r="D499" s="3">
        <f t="shared" si="29"/>
        <v>12</v>
      </c>
      <c r="E499" s="26">
        <v>23.6</v>
      </c>
      <c r="F499" s="26">
        <v>29.2</v>
      </c>
      <c r="G499" s="26">
        <v>27.4</v>
      </c>
      <c r="H499" s="34">
        <v>26.6</v>
      </c>
      <c r="I499" s="27">
        <v>29.6</v>
      </c>
      <c r="J499" s="27">
        <v>23.6</v>
      </c>
      <c r="K499" s="27">
        <v>28</v>
      </c>
      <c r="L499" s="35">
        <v>77.5</v>
      </c>
      <c r="M499" s="89" t="s">
        <v>17</v>
      </c>
      <c r="N499" s="29">
        <v>1009</v>
      </c>
      <c r="O499" s="30">
        <v>98.256753770221422</v>
      </c>
      <c r="P499" s="30">
        <v>74.631844628274578</v>
      </c>
      <c r="Q499" s="30">
        <v>87.531808735198595</v>
      </c>
      <c r="R499" s="8">
        <v>88</v>
      </c>
      <c r="S499" s="31">
        <v>3</v>
      </c>
      <c r="T499" s="31" t="s">
        <v>19</v>
      </c>
      <c r="U499" s="31">
        <v>9</v>
      </c>
      <c r="V499" s="31" t="s">
        <v>7</v>
      </c>
    </row>
    <row r="500" spans="1:22" s="53" customFormat="1" x14ac:dyDescent="0.35">
      <c r="A500" s="2">
        <v>43172</v>
      </c>
      <c r="B500" s="3">
        <f t="shared" si="27"/>
        <v>2018</v>
      </c>
      <c r="C500" s="3">
        <f t="shared" si="28"/>
        <v>3</v>
      </c>
      <c r="D500" s="3">
        <f t="shared" si="29"/>
        <v>13</v>
      </c>
      <c r="E500" s="26">
        <v>25.5</v>
      </c>
      <c r="F500" s="26">
        <v>26.6</v>
      </c>
      <c r="G500" s="26">
        <v>25.4</v>
      </c>
      <c r="H500" s="34">
        <v>25.6</v>
      </c>
      <c r="I500" s="27">
        <v>28.8</v>
      </c>
      <c r="J500" s="27">
        <v>24.2</v>
      </c>
      <c r="K500" s="27">
        <v>9.3000000000000007</v>
      </c>
      <c r="L500" s="35">
        <v>0</v>
      </c>
      <c r="M500" s="89" t="s">
        <v>11</v>
      </c>
      <c r="N500" s="29">
        <v>1008.9</v>
      </c>
      <c r="O500" s="30">
        <v>95.853964695947951</v>
      </c>
      <c r="P500" s="30">
        <v>90.414674222953053</v>
      </c>
      <c r="Q500" s="30">
        <v>98.328678274067755</v>
      </c>
      <c r="R500" s="8">
        <v>94</v>
      </c>
      <c r="S500" s="31">
        <v>1.75</v>
      </c>
      <c r="T500" s="31" t="s">
        <v>19</v>
      </c>
      <c r="U500" s="31">
        <v>13</v>
      </c>
      <c r="V500" s="31" t="s">
        <v>2</v>
      </c>
    </row>
    <row r="501" spans="1:22" s="53" customFormat="1" x14ac:dyDescent="0.35">
      <c r="A501" s="2">
        <v>43173</v>
      </c>
      <c r="B501" s="3">
        <f t="shared" si="27"/>
        <v>2018</v>
      </c>
      <c r="C501" s="3">
        <f t="shared" si="28"/>
        <v>3</v>
      </c>
      <c r="D501" s="3">
        <f t="shared" si="29"/>
        <v>14</v>
      </c>
      <c r="E501" s="26">
        <v>25</v>
      </c>
      <c r="F501" s="26">
        <v>31.4</v>
      </c>
      <c r="G501" s="26">
        <v>28</v>
      </c>
      <c r="H501" s="34">
        <v>27.7</v>
      </c>
      <c r="I501" s="27">
        <v>31.4</v>
      </c>
      <c r="J501" s="27">
        <v>24.8</v>
      </c>
      <c r="K501" s="27">
        <v>2.6</v>
      </c>
      <c r="L501" s="35">
        <v>100</v>
      </c>
      <c r="M501" s="89" t="s">
        <v>17</v>
      </c>
      <c r="N501" s="29">
        <v>1010.3</v>
      </c>
      <c r="O501" s="30">
        <v>93.32637261393613</v>
      </c>
      <c r="P501" s="30">
        <v>68.097150824248715</v>
      </c>
      <c r="Q501" s="30">
        <v>82.529805083943302</v>
      </c>
      <c r="R501" s="8">
        <v>84</v>
      </c>
      <c r="S501" s="31">
        <v>3.125</v>
      </c>
      <c r="T501" s="31" t="s">
        <v>4</v>
      </c>
      <c r="U501" s="31">
        <v>8</v>
      </c>
      <c r="V501" s="31" t="s">
        <v>1</v>
      </c>
    </row>
    <row r="502" spans="1:22" s="53" customFormat="1" x14ac:dyDescent="0.35">
      <c r="A502" s="2">
        <v>43174</v>
      </c>
      <c r="B502" s="3">
        <f t="shared" si="27"/>
        <v>2018</v>
      </c>
      <c r="C502" s="3">
        <f t="shared" si="28"/>
        <v>3</v>
      </c>
      <c r="D502" s="3">
        <f t="shared" si="29"/>
        <v>15</v>
      </c>
      <c r="E502" s="26">
        <v>26.3</v>
      </c>
      <c r="F502" s="26">
        <v>30.6</v>
      </c>
      <c r="G502" s="26">
        <v>24</v>
      </c>
      <c r="H502" s="34">
        <v>27.1</v>
      </c>
      <c r="I502" s="27">
        <v>31.4</v>
      </c>
      <c r="J502" s="27">
        <v>23.8</v>
      </c>
      <c r="K502" s="27" t="s">
        <v>12</v>
      </c>
      <c r="L502" s="35">
        <v>100</v>
      </c>
      <c r="M502" s="89" t="s">
        <v>17</v>
      </c>
      <c r="N502" s="29">
        <v>1010.2</v>
      </c>
      <c r="O502" s="30">
        <v>86.453797589986962</v>
      </c>
      <c r="P502" s="30">
        <v>59.58206673938092</v>
      </c>
      <c r="Q502" s="30">
        <v>95.706722906100097</v>
      </c>
      <c r="R502" s="8">
        <v>84</v>
      </c>
      <c r="S502" s="31">
        <v>3.4166666666666665</v>
      </c>
      <c r="T502" s="31" t="s">
        <v>19</v>
      </c>
      <c r="U502" s="31">
        <v>13</v>
      </c>
      <c r="V502" s="31" t="s">
        <v>4</v>
      </c>
    </row>
    <row r="503" spans="1:22" s="53" customFormat="1" x14ac:dyDescent="0.35">
      <c r="A503" s="2">
        <v>43175</v>
      </c>
      <c r="B503" s="3">
        <f t="shared" si="27"/>
        <v>2018</v>
      </c>
      <c r="C503" s="3">
        <f t="shared" si="28"/>
        <v>3</v>
      </c>
      <c r="D503" s="3">
        <f t="shared" si="29"/>
        <v>16</v>
      </c>
      <c r="E503" s="26">
        <v>25.5</v>
      </c>
      <c r="F503" s="26">
        <v>31.1</v>
      </c>
      <c r="G503" s="26">
        <v>28.3</v>
      </c>
      <c r="H503" s="34">
        <v>27.1</v>
      </c>
      <c r="I503" s="27">
        <v>31.4</v>
      </c>
      <c r="J503" s="27">
        <v>23.6</v>
      </c>
      <c r="K503" s="27">
        <v>11</v>
      </c>
      <c r="L503" s="35">
        <v>76.25</v>
      </c>
      <c r="M503" s="89" t="s">
        <v>11</v>
      </c>
      <c r="N503" s="29">
        <v>1009.2</v>
      </c>
      <c r="O503" s="30">
        <v>95.033819465246566</v>
      </c>
      <c r="P503" s="30">
        <v>62.985591988754273</v>
      </c>
      <c r="Q503" s="30">
        <v>82.640185085630421</v>
      </c>
      <c r="R503" s="8">
        <v>84</v>
      </c>
      <c r="S503" s="31">
        <v>2.625</v>
      </c>
      <c r="T503" s="31" t="s">
        <v>19</v>
      </c>
      <c r="U503" s="31">
        <v>6</v>
      </c>
      <c r="V503" s="31" t="s">
        <v>2</v>
      </c>
    </row>
    <row r="504" spans="1:22" s="53" customFormat="1" x14ac:dyDescent="0.35">
      <c r="A504" s="2">
        <v>43176</v>
      </c>
      <c r="B504" s="3">
        <f t="shared" si="27"/>
        <v>2018</v>
      </c>
      <c r="C504" s="3">
        <f t="shared" si="28"/>
        <v>3</v>
      </c>
      <c r="D504" s="3">
        <f t="shared" si="29"/>
        <v>17</v>
      </c>
      <c r="E504" s="26">
        <v>25.4</v>
      </c>
      <c r="F504" s="26">
        <v>27.4</v>
      </c>
      <c r="G504" s="26">
        <v>27.2</v>
      </c>
      <c r="H504" s="34">
        <v>26.5</v>
      </c>
      <c r="I504" s="27">
        <v>30.8</v>
      </c>
      <c r="J504" s="27">
        <v>24</v>
      </c>
      <c r="K504" s="27">
        <v>30</v>
      </c>
      <c r="L504" s="35">
        <v>56.25</v>
      </c>
      <c r="M504" s="89" t="s">
        <v>11</v>
      </c>
      <c r="N504" s="29">
        <v>1009</v>
      </c>
      <c r="O504" s="30">
        <v>95.022497897906916</v>
      </c>
      <c r="P504" s="30">
        <v>83.042439369456503</v>
      </c>
      <c r="Q504" s="30">
        <v>80.017191943947921</v>
      </c>
      <c r="R504" s="8">
        <v>87</v>
      </c>
      <c r="S504" s="31">
        <v>2.875</v>
      </c>
      <c r="T504" s="31" t="s">
        <v>19</v>
      </c>
      <c r="U504" s="31">
        <v>13</v>
      </c>
      <c r="V504" s="31" t="s">
        <v>5</v>
      </c>
    </row>
    <row r="505" spans="1:22" s="53" customFormat="1" x14ac:dyDescent="0.35">
      <c r="A505" s="2">
        <v>43177</v>
      </c>
      <c r="B505" s="3">
        <f t="shared" si="27"/>
        <v>2018</v>
      </c>
      <c r="C505" s="3">
        <f t="shared" si="28"/>
        <v>3</v>
      </c>
      <c r="D505" s="3">
        <f t="shared" si="29"/>
        <v>18</v>
      </c>
      <c r="E505" s="26">
        <v>25.8</v>
      </c>
      <c r="F505" s="26">
        <v>29.6</v>
      </c>
      <c r="G505" s="26">
        <v>28.4</v>
      </c>
      <c r="H505" s="34">
        <v>27.2</v>
      </c>
      <c r="I505" s="27">
        <v>30.2</v>
      </c>
      <c r="J505" s="27">
        <v>24.8</v>
      </c>
      <c r="K505" s="71">
        <v>8.8000000000000007</v>
      </c>
      <c r="L505" s="35">
        <v>75</v>
      </c>
      <c r="M505" s="89" t="s">
        <v>16</v>
      </c>
      <c r="N505" s="29">
        <v>1010.3</v>
      </c>
      <c r="O505" s="30">
        <v>88.656828294001087</v>
      </c>
      <c r="P505" s="30">
        <v>72.829825080395921</v>
      </c>
      <c r="Q505" s="30">
        <v>83.399524055063907</v>
      </c>
      <c r="R505" s="8">
        <v>86</v>
      </c>
      <c r="S505" s="31">
        <v>2.8333333333333335</v>
      </c>
      <c r="T505" s="31" t="s">
        <v>19</v>
      </c>
      <c r="U505" s="31">
        <v>10</v>
      </c>
      <c r="V505" s="31" t="s">
        <v>3</v>
      </c>
    </row>
    <row r="506" spans="1:22" s="53" customFormat="1" x14ac:dyDescent="0.35">
      <c r="A506" s="2">
        <v>43178</v>
      </c>
      <c r="B506" s="3">
        <f t="shared" ref="B506:B569" si="30">YEAR(A506)</f>
        <v>2018</v>
      </c>
      <c r="C506" s="3">
        <f t="shared" ref="C506:C569" si="31">MONTH(A506)</f>
        <v>3</v>
      </c>
      <c r="D506" s="3">
        <f t="shared" ref="D506:D569" si="32">DAY(A506)</f>
        <v>19</v>
      </c>
      <c r="E506" s="26">
        <v>26</v>
      </c>
      <c r="F506" s="26">
        <v>30</v>
      </c>
      <c r="G506" s="26">
        <v>27.8</v>
      </c>
      <c r="H506" s="34">
        <v>27.2</v>
      </c>
      <c r="I506" s="27">
        <v>31.6</v>
      </c>
      <c r="J506" s="27">
        <v>24.8</v>
      </c>
      <c r="K506" s="27" t="s">
        <v>9</v>
      </c>
      <c r="L506" s="35">
        <v>40</v>
      </c>
      <c r="M506" s="89" t="s">
        <v>11</v>
      </c>
      <c r="N506" s="29">
        <v>1009.5</v>
      </c>
      <c r="O506" s="30">
        <v>90.285851672166032</v>
      </c>
      <c r="P506" s="30">
        <v>77.055254220699581</v>
      </c>
      <c r="Q506" s="30">
        <v>74.574595333638541</v>
      </c>
      <c r="R506" s="8">
        <v>85</v>
      </c>
      <c r="S506" s="31">
        <v>2.7083333333333335</v>
      </c>
      <c r="T506" s="31" t="s">
        <v>19</v>
      </c>
      <c r="U506" s="31">
        <v>8</v>
      </c>
      <c r="V506" s="31" t="s">
        <v>1</v>
      </c>
    </row>
    <row r="507" spans="1:22" s="53" customFormat="1" x14ac:dyDescent="0.35">
      <c r="A507" s="2">
        <v>43179</v>
      </c>
      <c r="B507" s="3">
        <f t="shared" si="30"/>
        <v>2018</v>
      </c>
      <c r="C507" s="3">
        <f t="shared" si="31"/>
        <v>3</v>
      </c>
      <c r="D507" s="3">
        <f t="shared" si="32"/>
        <v>20</v>
      </c>
      <c r="E507" s="26">
        <v>25.6</v>
      </c>
      <c r="F507" s="26">
        <v>30.4</v>
      </c>
      <c r="G507" s="26">
        <v>28.5</v>
      </c>
      <c r="H507" s="34">
        <v>28.2</v>
      </c>
      <c r="I507" s="27">
        <v>32.4</v>
      </c>
      <c r="J507" s="27">
        <v>25</v>
      </c>
      <c r="K507" s="27">
        <v>0.2</v>
      </c>
      <c r="L507" s="35">
        <v>100</v>
      </c>
      <c r="M507" s="89" t="s">
        <v>13</v>
      </c>
      <c r="N507" s="29">
        <v>1009</v>
      </c>
      <c r="O507" s="30">
        <v>93.417462289395559</v>
      </c>
      <c r="P507" s="30">
        <v>71.957973431143657</v>
      </c>
      <c r="Q507" s="30">
        <v>83.434216640369186</v>
      </c>
      <c r="R507" s="8">
        <v>82</v>
      </c>
      <c r="S507" s="31">
        <v>3.5</v>
      </c>
      <c r="T507" s="31" t="s">
        <v>1</v>
      </c>
      <c r="U507" s="31">
        <v>8</v>
      </c>
      <c r="V507" s="31" t="s">
        <v>7</v>
      </c>
    </row>
    <row r="508" spans="1:22" s="53" customFormat="1" x14ac:dyDescent="0.35">
      <c r="A508" s="2">
        <v>43180</v>
      </c>
      <c r="B508" s="3">
        <f t="shared" si="30"/>
        <v>2018</v>
      </c>
      <c r="C508" s="3">
        <f t="shared" si="31"/>
        <v>3</v>
      </c>
      <c r="D508" s="3">
        <f t="shared" si="32"/>
        <v>21</v>
      </c>
      <c r="E508" s="26">
        <v>26.6</v>
      </c>
      <c r="F508" s="26">
        <v>29.5</v>
      </c>
      <c r="G508" s="26">
        <v>27.8</v>
      </c>
      <c r="H508" s="34">
        <v>27.3</v>
      </c>
      <c r="I508" s="27">
        <v>30.2</v>
      </c>
      <c r="J508" s="27">
        <v>24.9</v>
      </c>
      <c r="K508" s="27" t="s">
        <v>9</v>
      </c>
      <c r="L508" s="35">
        <v>41.25</v>
      </c>
      <c r="M508" s="89" t="s">
        <v>11</v>
      </c>
      <c r="N508" s="29">
        <v>1006.3</v>
      </c>
      <c r="O508" s="30">
        <v>88.85779948974681</v>
      </c>
      <c r="P508" s="30">
        <v>73.442867508959495</v>
      </c>
      <c r="Q508" s="30">
        <v>82.455248970108968</v>
      </c>
      <c r="R508" s="8">
        <v>86</v>
      </c>
      <c r="S508" s="31">
        <v>6.791666666666667</v>
      </c>
      <c r="T508" s="31" t="s">
        <v>1</v>
      </c>
      <c r="U508" s="31">
        <v>19</v>
      </c>
      <c r="V508" s="31" t="s">
        <v>1</v>
      </c>
    </row>
    <row r="509" spans="1:22" s="53" customFormat="1" x14ac:dyDescent="0.35">
      <c r="A509" s="2">
        <v>43181</v>
      </c>
      <c r="B509" s="3">
        <f t="shared" si="30"/>
        <v>2018</v>
      </c>
      <c r="C509" s="3">
        <f t="shared" si="31"/>
        <v>3</v>
      </c>
      <c r="D509" s="3">
        <f t="shared" si="32"/>
        <v>22</v>
      </c>
      <c r="E509" s="26">
        <v>25.6</v>
      </c>
      <c r="F509" s="26">
        <v>28.4</v>
      </c>
      <c r="G509" s="26">
        <v>26.8</v>
      </c>
      <c r="H509" s="34">
        <v>26.4</v>
      </c>
      <c r="I509" s="27">
        <v>30.4</v>
      </c>
      <c r="J509" s="27">
        <v>23.8</v>
      </c>
      <c r="K509" s="27">
        <v>1.9</v>
      </c>
      <c r="L509" s="35">
        <v>43.75</v>
      </c>
      <c r="M509" s="89" t="s">
        <v>16</v>
      </c>
      <c r="N509" s="29">
        <v>1006.6</v>
      </c>
      <c r="O509" s="30">
        <v>80.050306608566004</v>
      </c>
      <c r="P509" s="30">
        <v>79.811342168449215</v>
      </c>
      <c r="Q509" s="30">
        <v>85.081040006975215</v>
      </c>
      <c r="R509" s="8">
        <v>85</v>
      </c>
      <c r="S509" s="31">
        <v>3.4166666666666665</v>
      </c>
      <c r="T509" s="31" t="s">
        <v>19</v>
      </c>
      <c r="U509" s="31">
        <v>10</v>
      </c>
      <c r="V509" s="31" t="s">
        <v>1</v>
      </c>
    </row>
    <row r="510" spans="1:22" s="53" customFormat="1" x14ac:dyDescent="0.35">
      <c r="A510" s="2">
        <v>43182</v>
      </c>
      <c r="B510" s="3">
        <f t="shared" si="30"/>
        <v>2018</v>
      </c>
      <c r="C510" s="3">
        <f t="shared" si="31"/>
        <v>3</v>
      </c>
      <c r="D510" s="3">
        <f t="shared" si="32"/>
        <v>23</v>
      </c>
      <c r="E510" s="26">
        <v>26</v>
      </c>
      <c r="F510" s="26">
        <v>30.6</v>
      </c>
      <c r="G510" s="26">
        <v>27.2</v>
      </c>
      <c r="H510" s="34">
        <v>27.9</v>
      </c>
      <c r="I510" s="27">
        <v>31.7</v>
      </c>
      <c r="J510" s="27">
        <v>24.7</v>
      </c>
      <c r="K510" s="27" t="s">
        <v>9</v>
      </c>
      <c r="L510" s="35">
        <v>100</v>
      </c>
      <c r="M510" s="89" t="s">
        <v>16</v>
      </c>
      <c r="N510" s="29">
        <v>1008.5</v>
      </c>
      <c r="O510" s="30">
        <v>90.285851672166032</v>
      </c>
      <c r="P510" s="30">
        <v>70.778443254701287</v>
      </c>
      <c r="Q510" s="30">
        <v>77.10835778197287</v>
      </c>
      <c r="R510" s="8">
        <v>79</v>
      </c>
      <c r="S510" s="31">
        <v>2.7916666666666665</v>
      </c>
      <c r="T510" s="31" t="s">
        <v>19</v>
      </c>
      <c r="U510" s="31">
        <v>9</v>
      </c>
      <c r="V510" s="31" t="s">
        <v>5</v>
      </c>
    </row>
    <row r="511" spans="1:22" s="53" customFormat="1" x14ac:dyDescent="0.35">
      <c r="A511" s="2">
        <v>43183</v>
      </c>
      <c r="B511" s="3">
        <f t="shared" si="30"/>
        <v>2018</v>
      </c>
      <c r="C511" s="3">
        <f t="shared" si="31"/>
        <v>3</v>
      </c>
      <c r="D511" s="3">
        <f t="shared" si="32"/>
        <v>24</v>
      </c>
      <c r="E511" s="26">
        <v>27</v>
      </c>
      <c r="F511" s="26">
        <v>31.2</v>
      </c>
      <c r="G511" s="26">
        <v>25.2</v>
      </c>
      <c r="H511" s="34">
        <v>27.7</v>
      </c>
      <c r="I511" s="27">
        <v>32</v>
      </c>
      <c r="J511" s="27">
        <v>25</v>
      </c>
      <c r="K511" s="27" t="s">
        <v>9</v>
      </c>
      <c r="L511" s="35">
        <v>93.75</v>
      </c>
      <c r="M511" s="89" t="s">
        <v>11</v>
      </c>
      <c r="N511" s="29">
        <v>1009.5</v>
      </c>
      <c r="O511" s="30">
        <v>82.894248828323143</v>
      </c>
      <c r="P511" s="30">
        <v>67.350843749385419</v>
      </c>
      <c r="Q511" s="30">
        <v>91.726372472715113</v>
      </c>
      <c r="R511" s="8">
        <v>83</v>
      </c>
      <c r="S511" s="31">
        <v>2.7083333333333335</v>
      </c>
      <c r="T511" s="31" t="s">
        <v>19</v>
      </c>
      <c r="U511" s="31">
        <v>7</v>
      </c>
      <c r="V511" s="31" t="s">
        <v>8</v>
      </c>
    </row>
    <row r="512" spans="1:22" s="53" customFormat="1" x14ac:dyDescent="0.35">
      <c r="A512" s="2">
        <v>43184</v>
      </c>
      <c r="B512" s="3">
        <f t="shared" si="30"/>
        <v>2018</v>
      </c>
      <c r="C512" s="3">
        <f t="shared" si="31"/>
        <v>3</v>
      </c>
      <c r="D512" s="3">
        <f t="shared" si="32"/>
        <v>25</v>
      </c>
      <c r="E512" s="26">
        <v>26.8</v>
      </c>
      <c r="F512" s="26">
        <v>32.4</v>
      </c>
      <c r="G512" s="26">
        <v>24.4</v>
      </c>
      <c r="H512" s="34">
        <v>26.7</v>
      </c>
      <c r="I512" s="27">
        <v>33</v>
      </c>
      <c r="J512" s="27">
        <v>22.8</v>
      </c>
      <c r="K512" s="27">
        <v>1</v>
      </c>
      <c r="L512" s="35">
        <v>65</v>
      </c>
      <c r="M512" s="89" t="s">
        <v>11</v>
      </c>
      <c r="N512" s="29">
        <v>1010.6</v>
      </c>
      <c r="O512" s="30">
        <v>85.840587858319296</v>
      </c>
      <c r="P512" s="30">
        <v>55.26975096730439</v>
      </c>
      <c r="Q512" s="30">
        <v>96.591577461984471</v>
      </c>
      <c r="R512" s="8">
        <v>86</v>
      </c>
      <c r="S512" s="31">
        <v>3.5833333333333335</v>
      </c>
      <c r="T512" s="31" t="s">
        <v>19</v>
      </c>
      <c r="U512" s="31">
        <v>13</v>
      </c>
      <c r="V512" s="31" t="s">
        <v>4</v>
      </c>
    </row>
    <row r="513" spans="1:22" s="53" customFormat="1" x14ac:dyDescent="0.35">
      <c r="A513" s="2">
        <v>43185</v>
      </c>
      <c r="B513" s="3">
        <f t="shared" si="30"/>
        <v>2018</v>
      </c>
      <c r="C513" s="3">
        <f t="shared" si="31"/>
        <v>3</v>
      </c>
      <c r="D513" s="3">
        <f t="shared" si="32"/>
        <v>26</v>
      </c>
      <c r="E513" s="26">
        <v>25.2</v>
      </c>
      <c r="F513" s="26">
        <v>30.5</v>
      </c>
      <c r="G513" s="26">
        <v>28</v>
      </c>
      <c r="H513" s="34">
        <v>27.7</v>
      </c>
      <c r="I513" s="27">
        <v>31.1</v>
      </c>
      <c r="J513" s="27">
        <v>25.2</v>
      </c>
      <c r="K513" s="27">
        <v>18.5</v>
      </c>
      <c r="L513" s="35">
        <v>90</v>
      </c>
      <c r="M513" s="89" t="s">
        <v>18</v>
      </c>
      <c r="N513" s="29">
        <v>1010.7</v>
      </c>
      <c r="O513" s="30">
        <v>91.726372472715113</v>
      </c>
      <c r="P513" s="30">
        <v>68.162933559853499</v>
      </c>
      <c r="Q513" s="30">
        <v>83.258932546042018</v>
      </c>
      <c r="R513" s="8">
        <v>84</v>
      </c>
      <c r="S513" s="31">
        <v>1.8333333333333333</v>
      </c>
      <c r="T513" s="31" t="s">
        <v>19</v>
      </c>
      <c r="U513" s="31">
        <v>4</v>
      </c>
      <c r="V513" s="31" t="s">
        <v>7</v>
      </c>
    </row>
    <row r="514" spans="1:22" s="53" customFormat="1" x14ac:dyDescent="0.35">
      <c r="A514" s="2">
        <v>43186</v>
      </c>
      <c r="B514" s="3">
        <f t="shared" si="30"/>
        <v>2018</v>
      </c>
      <c r="C514" s="3">
        <f t="shared" si="31"/>
        <v>3</v>
      </c>
      <c r="D514" s="3">
        <f t="shared" si="32"/>
        <v>27</v>
      </c>
      <c r="E514" s="26">
        <v>26.6</v>
      </c>
      <c r="F514" s="26">
        <v>30.8</v>
      </c>
      <c r="G514" s="26">
        <v>25.5</v>
      </c>
      <c r="H514" s="34">
        <v>26.8</v>
      </c>
      <c r="I514" s="27">
        <v>31.2</v>
      </c>
      <c r="J514" s="27">
        <v>23.8</v>
      </c>
      <c r="K514" s="27" t="s">
        <v>9</v>
      </c>
      <c r="L514" s="35">
        <v>50</v>
      </c>
      <c r="M514" s="89" t="s">
        <v>11</v>
      </c>
      <c r="N514" s="29">
        <v>1010.5</v>
      </c>
      <c r="O514" s="30">
        <v>88.85779948974681</v>
      </c>
      <c r="P514" s="30">
        <v>69.617615273896874</v>
      </c>
      <c r="Q514" s="30">
        <v>90.97768104354212</v>
      </c>
      <c r="R514" s="8">
        <v>86</v>
      </c>
      <c r="S514" s="31">
        <v>2.25</v>
      </c>
      <c r="T514" s="31" t="s">
        <v>19</v>
      </c>
      <c r="U514" s="31">
        <v>6</v>
      </c>
      <c r="V514" s="31" t="s">
        <v>2</v>
      </c>
    </row>
    <row r="515" spans="1:22" s="53" customFormat="1" x14ac:dyDescent="0.35">
      <c r="A515" s="2">
        <v>43187</v>
      </c>
      <c r="B515" s="3">
        <f t="shared" si="30"/>
        <v>2018</v>
      </c>
      <c r="C515" s="3">
        <f t="shared" si="31"/>
        <v>3</v>
      </c>
      <c r="D515" s="3">
        <f t="shared" si="32"/>
        <v>28</v>
      </c>
      <c r="E515" s="26">
        <v>25.8</v>
      </c>
      <c r="F515" s="26">
        <v>31.2</v>
      </c>
      <c r="G515" s="26">
        <v>24.4</v>
      </c>
      <c r="H515" s="34">
        <v>27.1</v>
      </c>
      <c r="I515" s="27">
        <v>31.6</v>
      </c>
      <c r="J515" s="27">
        <v>23.7</v>
      </c>
      <c r="K515" s="27">
        <v>0.9</v>
      </c>
      <c r="L515" s="35">
        <v>100</v>
      </c>
      <c r="M515" s="89" t="s">
        <v>17</v>
      </c>
      <c r="N515" s="29">
        <v>1010</v>
      </c>
      <c r="O515" s="30">
        <v>85.520903747080652</v>
      </c>
      <c r="P515" s="30">
        <v>66.112975506451193</v>
      </c>
      <c r="Q515" s="30">
        <v>98.289597200610771</v>
      </c>
      <c r="R515" s="8">
        <v>85</v>
      </c>
      <c r="S515" s="31">
        <v>3.4583333333333335</v>
      </c>
      <c r="T515" s="31" t="s">
        <v>19</v>
      </c>
      <c r="U515" s="31">
        <v>10</v>
      </c>
      <c r="V515" s="31" t="s">
        <v>2</v>
      </c>
    </row>
    <row r="516" spans="1:22" s="53" customFormat="1" x14ac:dyDescent="0.35">
      <c r="A516" s="2">
        <v>43188</v>
      </c>
      <c r="B516" s="3">
        <f t="shared" si="30"/>
        <v>2018</v>
      </c>
      <c r="C516" s="3">
        <f t="shared" si="31"/>
        <v>3</v>
      </c>
      <c r="D516" s="3">
        <f t="shared" si="32"/>
        <v>29</v>
      </c>
      <c r="E516" s="26">
        <v>25.2</v>
      </c>
      <c r="F516" s="26">
        <v>31.2</v>
      </c>
      <c r="G516" s="26">
        <v>28</v>
      </c>
      <c r="H516" s="34">
        <v>28.1</v>
      </c>
      <c r="I516" s="27">
        <v>32.4</v>
      </c>
      <c r="J516" s="27">
        <v>25.2</v>
      </c>
      <c r="K516" s="27">
        <v>26</v>
      </c>
      <c r="L516" s="35">
        <v>100</v>
      </c>
      <c r="M516" s="89" t="s">
        <v>13</v>
      </c>
      <c r="N516" s="29">
        <v>1009.3</v>
      </c>
      <c r="O516" s="30">
        <v>83.747930818606349</v>
      </c>
      <c r="P516" s="30">
        <v>67.350843749385419</v>
      </c>
      <c r="Q516" s="30">
        <v>83.258932546042018</v>
      </c>
      <c r="R516" s="8">
        <v>81</v>
      </c>
      <c r="S516" s="31">
        <v>3.375</v>
      </c>
      <c r="T516" s="31" t="s">
        <v>19</v>
      </c>
      <c r="U516" s="31">
        <v>10</v>
      </c>
      <c r="V516" s="31" t="s">
        <v>2</v>
      </c>
    </row>
    <row r="517" spans="1:22" s="53" customFormat="1" x14ac:dyDescent="0.35">
      <c r="A517" s="2">
        <v>43189</v>
      </c>
      <c r="B517" s="3">
        <f t="shared" si="30"/>
        <v>2018</v>
      </c>
      <c r="C517" s="3">
        <f t="shared" si="31"/>
        <v>3</v>
      </c>
      <c r="D517" s="3">
        <f t="shared" si="32"/>
        <v>30</v>
      </c>
      <c r="E517" s="26">
        <v>26.5</v>
      </c>
      <c r="F517" s="26">
        <v>30.6</v>
      </c>
      <c r="G517" s="26">
        <v>28.2</v>
      </c>
      <c r="H517" s="34">
        <v>28.2</v>
      </c>
      <c r="I517" s="27">
        <v>32</v>
      </c>
      <c r="J517" s="27">
        <v>25.1</v>
      </c>
      <c r="K517" s="27" t="s">
        <v>9</v>
      </c>
      <c r="L517" s="35">
        <v>100</v>
      </c>
      <c r="M517" s="89" t="s">
        <v>11</v>
      </c>
      <c r="N517" s="29">
        <v>1008</v>
      </c>
      <c r="O517" s="30">
        <v>84.219955979190786</v>
      </c>
      <c r="P517" s="30">
        <v>73.368814024818136</v>
      </c>
      <c r="Q517" s="30">
        <v>86.260523751019065</v>
      </c>
      <c r="R517" s="8">
        <v>83</v>
      </c>
      <c r="S517" s="31">
        <v>4.625</v>
      </c>
      <c r="T517" s="31" t="s">
        <v>1</v>
      </c>
      <c r="U517" s="31">
        <v>11</v>
      </c>
      <c r="V517" s="31" t="s">
        <v>5</v>
      </c>
    </row>
    <row r="518" spans="1:22" s="53" customFormat="1" x14ac:dyDescent="0.35">
      <c r="A518" s="2">
        <v>43190</v>
      </c>
      <c r="B518" s="3">
        <f t="shared" si="30"/>
        <v>2018</v>
      </c>
      <c r="C518" s="3">
        <f t="shared" si="31"/>
        <v>3</v>
      </c>
      <c r="D518" s="3">
        <f t="shared" si="32"/>
        <v>31</v>
      </c>
      <c r="E518" s="26">
        <v>25.4</v>
      </c>
      <c r="F518" s="26">
        <v>31.3</v>
      </c>
      <c r="G518" s="26">
        <v>28</v>
      </c>
      <c r="H518" s="34">
        <v>28</v>
      </c>
      <c r="I518" s="27">
        <v>31.6</v>
      </c>
      <c r="J518" s="27">
        <v>25</v>
      </c>
      <c r="K518" s="27"/>
      <c r="L518" s="35">
        <v>85</v>
      </c>
      <c r="M518" s="89"/>
      <c r="N518" s="29">
        <v>1008.4</v>
      </c>
      <c r="O518" s="30">
        <v>92.574351811205389</v>
      </c>
      <c r="P518" s="30">
        <v>69.284503040024148</v>
      </c>
      <c r="Q518" s="30">
        <v>86.202405882369277</v>
      </c>
      <c r="R518" s="8">
        <v>85</v>
      </c>
      <c r="S518" s="31">
        <v>3.9166666666666665</v>
      </c>
      <c r="T518" s="31" t="s">
        <v>1</v>
      </c>
      <c r="U518" s="31">
        <v>9</v>
      </c>
      <c r="V518" s="31" t="s">
        <v>2</v>
      </c>
    </row>
    <row r="519" spans="1:22" s="53" customFormat="1" x14ac:dyDescent="0.35">
      <c r="A519" s="2">
        <v>43191</v>
      </c>
      <c r="B519" s="3">
        <f t="shared" si="30"/>
        <v>2018</v>
      </c>
      <c r="C519" s="3">
        <f t="shared" si="31"/>
        <v>4</v>
      </c>
      <c r="D519" s="3">
        <f t="shared" si="32"/>
        <v>1</v>
      </c>
      <c r="E519" s="72">
        <v>27.8</v>
      </c>
      <c r="F519" s="72">
        <v>31.2</v>
      </c>
      <c r="G519" s="72">
        <v>28.4</v>
      </c>
      <c r="H519" s="34">
        <v>28.1</v>
      </c>
      <c r="I519" s="27">
        <v>31.4</v>
      </c>
      <c r="J519" s="27">
        <v>25.2</v>
      </c>
      <c r="K519" s="27" t="s">
        <v>9</v>
      </c>
      <c r="L519" s="35">
        <v>100</v>
      </c>
      <c r="M519" s="13" t="s">
        <v>18</v>
      </c>
      <c r="N519" s="29">
        <v>1008.6</v>
      </c>
      <c r="O519" s="30">
        <v>81.72565273312577</v>
      </c>
      <c r="P519" s="30">
        <v>69.854164416590351</v>
      </c>
      <c r="Q519" s="73">
        <v>80.523709805481062</v>
      </c>
      <c r="R519" s="8">
        <v>83</v>
      </c>
      <c r="S519" s="31">
        <v>4.125</v>
      </c>
      <c r="T519" s="31" t="s">
        <v>19</v>
      </c>
      <c r="U519" s="31">
        <v>11</v>
      </c>
      <c r="V519" s="31" t="s">
        <v>1</v>
      </c>
    </row>
    <row r="520" spans="1:22" s="53" customFormat="1" x14ac:dyDescent="0.35">
      <c r="A520" s="2">
        <v>43192</v>
      </c>
      <c r="B520" s="3">
        <f t="shared" si="30"/>
        <v>2018</v>
      </c>
      <c r="C520" s="3">
        <f t="shared" si="31"/>
        <v>4</v>
      </c>
      <c r="D520" s="3">
        <f t="shared" si="32"/>
        <v>2</v>
      </c>
      <c r="E520" s="72">
        <v>26.8</v>
      </c>
      <c r="F520" s="72">
        <v>31.4</v>
      </c>
      <c r="G520" s="72">
        <v>27.8</v>
      </c>
      <c r="H520" s="34">
        <v>27.5</v>
      </c>
      <c r="I520" s="27">
        <v>31.6</v>
      </c>
      <c r="J520" s="27">
        <v>24.7</v>
      </c>
      <c r="K520" s="27" t="s">
        <v>9</v>
      </c>
      <c r="L520" s="35">
        <v>97.5</v>
      </c>
      <c r="M520" s="13" t="s">
        <v>18</v>
      </c>
      <c r="N520" s="29">
        <v>1009</v>
      </c>
      <c r="O520" s="30">
        <v>88.906712707344283</v>
      </c>
      <c r="P520" s="30">
        <v>67.477252117892945</v>
      </c>
      <c r="Q520" s="73">
        <v>81.72565273312577</v>
      </c>
      <c r="R520" s="8">
        <v>84</v>
      </c>
      <c r="S520" s="31">
        <v>2.9583333333333335</v>
      </c>
      <c r="T520" s="31" t="s">
        <v>19</v>
      </c>
      <c r="U520" s="31">
        <v>10</v>
      </c>
      <c r="V520" s="31" t="s">
        <v>1</v>
      </c>
    </row>
    <row r="521" spans="1:22" s="53" customFormat="1" x14ac:dyDescent="0.35">
      <c r="A521" s="2">
        <v>43193</v>
      </c>
      <c r="B521" s="3">
        <f t="shared" si="30"/>
        <v>2018</v>
      </c>
      <c r="C521" s="3">
        <f t="shared" si="31"/>
        <v>4</v>
      </c>
      <c r="D521" s="3">
        <f t="shared" si="32"/>
        <v>3</v>
      </c>
      <c r="E521" s="72">
        <v>26.3</v>
      </c>
      <c r="F521" s="72">
        <v>31.5</v>
      </c>
      <c r="G521" s="72">
        <v>23.4</v>
      </c>
      <c r="H521" s="34">
        <v>26.8</v>
      </c>
      <c r="I521" s="27">
        <v>31.8</v>
      </c>
      <c r="J521" s="27">
        <v>22.8</v>
      </c>
      <c r="K521" s="27">
        <v>17.5</v>
      </c>
      <c r="L521" s="35">
        <v>100</v>
      </c>
      <c r="M521" s="13" t="s">
        <v>17</v>
      </c>
      <c r="N521" s="29">
        <v>1010.2</v>
      </c>
      <c r="O521" s="30">
        <v>87.227515539196531</v>
      </c>
      <c r="P521" s="30">
        <v>69.402889848883049</v>
      </c>
      <c r="Q521" s="73">
        <v>96.509206044790147</v>
      </c>
      <c r="R521" s="8">
        <v>86</v>
      </c>
      <c r="S521" s="31">
        <v>2.7083333333333335</v>
      </c>
      <c r="T521" s="31" t="s">
        <v>19</v>
      </c>
      <c r="U521" s="31">
        <v>13</v>
      </c>
      <c r="V521" s="31" t="s">
        <v>6</v>
      </c>
    </row>
    <row r="522" spans="1:22" s="53" customFormat="1" x14ac:dyDescent="0.35">
      <c r="A522" s="2">
        <v>43194</v>
      </c>
      <c r="B522" s="3">
        <f t="shared" si="30"/>
        <v>2018</v>
      </c>
      <c r="C522" s="3">
        <f t="shared" si="31"/>
        <v>4</v>
      </c>
      <c r="D522" s="3">
        <f t="shared" si="32"/>
        <v>4</v>
      </c>
      <c r="E522" s="72">
        <v>25.6</v>
      </c>
      <c r="F522" s="72">
        <v>31.2</v>
      </c>
      <c r="G522" s="72">
        <v>28.8</v>
      </c>
      <c r="H522" s="34">
        <v>28.2</v>
      </c>
      <c r="I522" s="27">
        <v>31.9</v>
      </c>
      <c r="J522" s="27">
        <v>25.2</v>
      </c>
      <c r="K522" s="27" t="s">
        <v>9</v>
      </c>
      <c r="L522" s="35">
        <v>100</v>
      </c>
      <c r="M522" s="13" t="s">
        <v>16</v>
      </c>
      <c r="N522" s="29">
        <v>1009.7</v>
      </c>
      <c r="O522" s="30">
        <v>91.801681435810139</v>
      </c>
      <c r="P522" s="30">
        <v>69.854164416590351</v>
      </c>
      <c r="Q522" s="73">
        <v>79.27546788372959</v>
      </c>
      <c r="R522" s="8">
        <v>83</v>
      </c>
      <c r="S522" s="31">
        <v>2.7916666666666665</v>
      </c>
      <c r="T522" s="31" t="s">
        <v>19</v>
      </c>
      <c r="U522" s="31">
        <v>7</v>
      </c>
      <c r="V522" s="31" t="s">
        <v>2</v>
      </c>
    </row>
    <row r="523" spans="1:22" s="53" customFormat="1" x14ac:dyDescent="0.35">
      <c r="A523" s="2">
        <v>43195</v>
      </c>
      <c r="B523" s="3">
        <f t="shared" si="30"/>
        <v>2018</v>
      </c>
      <c r="C523" s="3">
        <f t="shared" si="31"/>
        <v>4</v>
      </c>
      <c r="D523" s="3">
        <f t="shared" si="32"/>
        <v>5</v>
      </c>
      <c r="E523" s="72">
        <v>27</v>
      </c>
      <c r="F523" s="72">
        <v>31.4</v>
      </c>
      <c r="G523" s="72">
        <v>29</v>
      </c>
      <c r="H523" s="34">
        <v>28.9</v>
      </c>
      <c r="I523" s="27">
        <v>32</v>
      </c>
      <c r="J523" s="27">
        <v>25.4</v>
      </c>
      <c r="K523" s="27">
        <v>0.8</v>
      </c>
      <c r="L523" s="35">
        <v>100</v>
      </c>
      <c r="M523" s="13" t="s">
        <v>11</v>
      </c>
      <c r="N523" s="29">
        <v>1008.1</v>
      </c>
      <c r="O523" s="30">
        <v>85.146305205721234</v>
      </c>
      <c r="P523" s="30">
        <v>71.865100327427868</v>
      </c>
      <c r="Q523" s="73">
        <v>79.361063160738937</v>
      </c>
      <c r="R523" s="8">
        <v>81</v>
      </c>
      <c r="S523" s="31">
        <v>2.625</v>
      </c>
      <c r="T523" s="31" t="s">
        <v>19</v>
      </c>
      <c r="U523" s="31">
        <v>8</v>
      </c>
      <c r="V523" s="31" t="s">
        <v>3</v>
      </c>
    </row>
    <row r="524" spans="1:22" s="53" customFormat="1" x14ac:dyDescent="0.35">
      <c r="A524" s="2">
        <v>43196</v>
      </c>
      <c r="B524" s="3">
        <f t="shared" si="30"/>
        <v>2018</v>
      </c>
      <c r="C524" s="3">
        <f t="shared" si="31"/>
        <v>4</v>
      </c>
      <c r="D524" s="3">
        <f t="shared" si="32"/>
        <v>6</v>
      </c>
      <c r="E524" s="72">
        <v>27.2</v>
      </c>
      <c r="F524" s="72">
        <v>31.6</v>
      </c>
      <c r="G524" s="72">
        <v>29</v>
      </c>
      <c r="H524" s="34">
        <v>28.4</v>
      </c>
      <c r="I524" s="27">
        <v>31.7</v>
      </c>
      <c r="J524" s="27">
        <v>24.2</v>
      </c>
      <c r="K524" s="27">
        <v>11.2</v>
      </c>
      <c r="L524" s="35">
        <v>100</v>
      </c>
      <c r="M524" s="13" t="s">
        <v>17</v>
      </c>
      <c r="N524" s="29">
        <v>1007.9</v>
      </c>
      <c r="O524" s="30">
        <v>86.719384469379108</v>
      </c>
      <c r="P524" s="30">
        <v>66.987216527227147</v>
      </c>
      <c r="Q524" s="73">
        <v>72.492860597196724</v>
      </c>
      <c r="R524" s="8">
        <v>79</v>
      </c>
      <c r="S524" s="31">
        <v>3.375</v>
      </c>
      <c r="T524" s="31" t="s">
        <v>19</v>
      </c>
      <c r="U524" s="31">
        <v>11</v>
      </c>
      <c r="V524" s="31" t="s">
        <v>7</v>
      </c>
    </row>
    <row r="525" spans="1:22" s="53" customFormat="1" x14ac:dyDescent="0.35">
      <c r="A525" s="2">
        <v>43197</v>
      </c>
      <c r="B525" s="3">
        <f t="shared" si="30"/>
        <v>2018</v>
      </c>
      <c r="C525" s="3">
        <f t="shared" si="31"/>
        <v>4</v>
      </c>
      <c r="D525" s="3">
        <f t="shared" si="32"/>
        <v>7</v>
      </c>
      <c r="E525" s="72">
        <v>26.2</v>
      </c>
      <c r="F525" s="72">
        <v>30.6</v>
      </c>
      <c r="G525" s="72">
        <v>28.2</v>
      </c>
      <c r="H525" s="34">
        <v>28.1</v>
      </c>
      <c r="I525" s="27">
        <v>30.8</v>
      </c>
      <c r="J525" s="27">
        <v>25.2</v>
      </c>
      <c r="K525" s="27" t="s">
        <v>9</v>
      </c>
      <c r="L525" s="35">
        <v>88.75</v>
      </c>
      <c r="M525" s="13" t="s">
        <v>13</v>
      </c>
      <c r="N525" s="29">
        <v>1009.9</v>
      </c>
      <c r="O525" s="30">
        <v>85.650844615991446</v>
      </c>
      <c r="P525" s="30">
        <v>70.778443254701287</v>
      </c>
      <c r="Q525" s="73">
        <v>79.013274311960984</v>
      </c>
      <c r="R525" s="8">
        <v>81</v>
      </c>
      <c r="S525" s="31">
        <v>4.458333333333333</v>
      </c>
      <c r="T525" s="31" t="s">
        <v>7</v>
      </c>
      <c r="U525" s="31">
        <v>8</v>
      </c>
      <c r="V525" s="31" t="s">
        <v>3</v>
      </c>
    </row>
    <row r="526" spans="1:22" s="53" customFormat="1" x14ac:dyDescent="0.35">
      <c r="A526" s="2">
        <v>43198</v>
      </c>
      <c r="B526" s="3">
        <f t="shared" si="30"/>
        <v>2018</v>
      </c>
      <c r="C526" s="3">
        <f t="shared" si="31"/>
        <v>4</v>
      </c>
      <c r="D526" s="3">
        <f t="shared" si="32"/>
        <v>8</v>
      </c>
      <c r="E526" s="72">
        <v>26.6</v>
      </c>
      <c r="F526" s="72">
        <v>28.8</v>
      </c>
      <c r="G526" s="72">
        <v>27.8</v>
      </c>
      <c r="H526" s="34">
        <v>27.5</v>
      </c>
      <c r="I526" s="27">
        <v>31.6</v>
      </c>
      <c r="J526" s="27">
        <v>24.6</v>
      </c>
      <c r="K526" s="27" t="s">
        <v>9</v>
      </c>
      <c r="L526" s="35">
        <v>92.5</v>
      </c>
      <c r="M526" s="13" t="s">
        <v>16</v>
      </c>
      <c r="N526" s="29">
        <v>1009.5</v>
      </c>
      <c r="O526" s="30">
        <v>87.312279769242565</v>
      </c>
      <c r="P526" s="30">
        <v>77.875684825271435</v>
      </c>
      <c r="Q526" s="73">
        <v>84.660169927124755</v>
      </c>
      <c r="R526" s="8">
        <v>86</v>
      </c>
      <c r="S526" s="31">
        <v>3.125</v>
      </c>
      <c r="T526" s="31" t="s">
        <v>19</v>
      </c>
      <c r="U526" s="31">
        <v>9</v>
      </c>
      <c r="V526" s="31" t="s">
        <v>2</v>
      </c>
    </row>
    <row r="527" spans="1:22" s="53" customFormat="1" x14ac:dyDescent="0.35">
      <c r="A527" s="2">
        <v>43199</v>
      </c>
      <c r="B527" s="3">
        <f t="shared" si="30"/>
        <v>2018</v>
      </c>
      <c r="C527" s="3">
        <f t="shared" si="31"/>
        <v>4</v>
      </c>
      <c r="D527" s="3">
        <f t="shared" si="32"/>
        <v>9</v>
      </c>
      <c r="E527" s="72">
        <v>26.6</v>
      </c>
      <c r="F527" s="72">
        <v>31.3</v>
      </c>
      <c r="G527" s="72">
        <v>28.6</v>
      </c>
      <c r="H527" s="34">
        <v>28</v>
      </c>
      <c r="I527" s="27">
        <v>31.4</v>
      </c>
      <c r="J527" s="27">
        <v>24.4</v>
      </c>
      <c r="K527" s="27" t="s">
        <v>9</v>
      </c>
      <c r="L527" s="35">
        <v>100</v>
      </c>
      <c r="M527" s="13" t="s">
        <v>16</v>
      </c>
      <c r="N527" s="29">
        <v>1011.2</v>
      </c>
      <c r="O527" s="30">
        <v>90.414674222953053</v>
      </c>
      <c r="P527" s="30">
        <v>66.795366661603168</v>
      </c>
      <c r="Q527" s="73">
        <v>77.783258701669766</v>
      </c>
      <c r="R527" s="8">
        <v>82</v>
      </c>
      <c r="S527" s="31">
        <v>3.0833333333333335</v>
      </c>
      <c r="T527" s="31" t="s">
        <v>19</v>
      </c>
      <c r="U527" s="31">
        <v>9</v>
      </c>
      <c r="V527" s="31" t="s">
        <v>3</v>
      </c>
    </row>
    <row r="528" spans="1:22" s="53" customFormat="1" x14ac:dyDescent="0.35">
      <c r="A528" s="2">
        <v>43200</v>
      </c>
      <c r="B528" s="3">
        <f t="shared" si="30"/>
        <v>2018</v>
      </c>
      <c r="C528" s="3">
        <f t="shared" si="31"/>
        <v>4</v>
      </c>
      <c r="D528" s="3">
        <f t="shared" si="32"/>
        <v>10</v>
      </c>
      <c r="E528" s="72">
        <v>26.6</v>
      </c>
      <c r="F528" s="72">
        <v>31</v>
      </c>
      <c r="G528" s="72">
        <v>28.9</v>
      </c>
      <c r="H528" s="34">
        <v>27.9</v>
      </c>
      <c r="I528" s="27">
        <v>31.3</v>
      </c>
      <c r="J528" s="27">
        <v>24.6</v>
      </c>
      <c r="K528" s="27" t="s">
        <v>9</v>
      </c>
      <c r="L528" s="35">
        <v>95</v>
      </c>
      <c r="M528" s="13" t="s">
        <v>16</v>
      </c>
      <c r="N528" s="29">
        <v>1010.5</v>
      </c>
      <c r="O528" s="30">
        <v>82.742865676712952</v>
      </c>
      <c r="P528" s="30">
        <v>67.848012348338841</v>
      </c>
      <c r="Q528" s="73">
        <v>80.020661770502883</v>
      </c>
      <c r="R528" s="8">
        <v>83</v>
      </c>
      <c r="S528" s="31">
        <v>2.8333333333333335</v>
      </c>
      <c r="T528" s="31" t="s">
        <v>19</v>
      </c>
      <c r="U528" s="31">
        <v>9</v>
      </c>
      <c r="V528" s="31" t="s">
        <v>3</v>
      </c>
    </row>
    <row r="529" spans="1:22" s="53" customFormat="1" x14ac:dyDescent="0.35">
      <c r="A529" s="2">
        <v>43201</v>
      </c>
      <c r="B529" s="3">
        <f t="shared" si="30"/>
        <v>2018</v>
      </c>
      <c r="C529" s="3">
        <f t="shared" si="31"/>
        <v>4</v>
      </c>
      <c r="D529" s="3">
        <f t="shared" si="32"/>
        <v>11</v>
      </c>
      <c r="E529" s="72">
        <v>26.5</v>
      </c>
      <c r="F529" s="72">
        <v>31</v>
      </c>
      <c r="G529" s="72">
        <v>29</v>
      </c>
      <c r="H529" s="34">
        <v>29.1</v>
      </c>
      <c r="I529" s="27">
        <v>31.8</v>
      </c>
      <c r="J529" s="27">
        <v>26.4</v>
      </c>
      <c r="K529" s="27" t="s">
        <v>9</v>
      </c>
      <c r="L529" s="35">
        <v>100</v>
      </c>
      <c r="M529" s="13" t="s">
        <v>16</v>
      </c>
      <c r="N529" s="29">
        <v>1009.1</v>
      </c>
      <c r="O529" s="30">
        <v>88.057246099780073</v>
      </c>
      <c r="P529" s="30">
        <v>68.475182626420789</v>
      </c>
      <c r="Q529" s="73">
        <v>72.492860597196724</v>
      </c>
      <c r="R529" s="8">
        <v>78</v>
      </c>
      <c r="S529" s="31">
        <v>5.416666666666667</v>
      </c>
      <c r="T529" s="31" t="s">
        <v>7</v>
      </c>
      <c r="U529" s="31">
        <v>11</v>
      </c>
      <c r="V529" s="31" t="s">
        <v>7</v>
      </c>
    </row>
    <row r="530" spans="1:22" s="53" customFormat="1" x14ac:dyDescent="0.35">
      <c r="A530" s="2">
        <v>43202</v>
      </c>
      <c r="B530" s="3">
        <f t="shared" si="30"/>
        <v>2018</v>
      </c>
      <c r="C530" s="3">
        <f t="shared" si="31"/>
        <v>4</v>
      </c>
      <c r="D530" s="3">
        <f t="shared" si="32"/>
        <v>12</v>
      </c>
      <c r="E530" s="72">
        <v>28.2</v>
      </c>
      <c r="F530" s="72">
        <v>31.2</v>
      </c>
      <c r="G530" s="72">
        <v>29</v>
      </c>
      <c r="H530" s="34">
        <v>28.6</v>
      </c>
      <c r="I530" s="27">
        <v>31.8</v>
      </c>
      <c r="J530" s="27">
        <v>25.7</v>
      </c>
      <c r="K530" s="27" t="s">
        <v>9</v>
      </c>
      <c r="L530" s="35">
        <v>82.5</v>
      </c>
      <c r="M530" s="13" t="s">
        <v>16</v>
      </c>
      <c r="N530" s="29">
        <v>1009.4</v>
      </c>
      <c r="O530" s="30">
        <v>86.260523751019065</v>
      </c>
      <c r="P530" s="30">
        <v>68.597880222405522</v>
      </c>
      <c r="Q530" s="73">
        <v>80.765281927078647</v>
      </c>
      <c r="R530" s="8">
        <v>82</v>
      </c>
      <c r="S530" s="31">
        <v>3.4583333333333335</v>
      </c>
      <c r="T530" s="31" t="s">
        <v>19</v>
      </c>
      <c r="U530" s="31">
        <v>9</v>
      </c>
      <c r="V530" s="31" t="s">
        <v>7</v>
      </c>
    </row>
    <row r="531" spans="1:22" s="53" customFormat="1" x14ac:dyDescent="0.35">
      <c r="A531" s="2">
        <v>43203</v>
      </c>
      <c r="B531" s="3">
        <f t="shared" si="30"/>
        <v>2018</v>
      </c>
      <c r="C531" s="3">
        <f t="shared" si="31"/>
        <v>4</v>
      </c>
      <c r="D531" s="3">
        <f t="shared" si="32"/>
        <v>13</v>
      </c>
      <c r="E531" s="72">
        <v>27.2</v>
      </c>
      <c r="F531" s="72">
        <v>31.4</v>
      </c>
      <c r="G531" s="72">
        <v>29.4</v>
      </c>
      <c r="H531" s="34">
        <v>29.1</v>
      </c>
      <c r="I531" s="27">
        <v>31.8</v>
      </c>
      <c r="J531" s="27">
        <v>26.2</v>
      </c>
      <c r="K531" s="27" t="s">
        <v>9</v>
      </c>
      <c r="L531" s="35">
        <v>100</v>
      </c>
      <c r="M531" s="13" t="s">
        <v>13</v>
      </c>
      <c r="N531" s="29">
        <v>1009</v>
      </c>
      <c r="O531" s="30">
        <v>88.238995075160318</v>
      </c>
      <c r="P531" s="30">
        <v>75.069748109558915</v>
      </c>
      <c r="Q531" s="73">
        <v>81.622387548521019</v>
      </c>
      <c r="R531" s="8">
        <v>83</v>
      </c>
      <c r="S531" s="31">
        <v>3.7916666666666665</v>
      </c>
      <c r="T531" s="31" t="s">
        <v>7</v>
      </c>
      <c r="U531" s="31">
        <v>9</v>
      </c>
      <c r="V531" s="31" t="s">
        <v>7</v>
      </c>
    </row>
    <row r="532" spans="1:22" s="53" customFormat="1" x14ac:dyDescent="0.35">
      <c r="A532" s="2">
        <v>43204</v>
      </c>
      <c r="B532" s="3">
        <f t="shared" si="30"/>
        <v>2018</v>
      </c>
      <c r="C532" s="3">
        <f t="shared" si="31"/>
        <v>4</v>
      </c>
      <c r="D532" s="3">
        <f t="shared" si="32"/>
        <v>14</v>
      </c>
      <c r="E532" s="72">
        <v>27.2</v>
      </c>
      <c r="F532" s="72">
        <v>31.8</v>
      </c>
      <c r="G532" s="72">
        <v>29</v>
      </c>
      <c r="H532" s="34">
        <v>28.7</v>
      </c>
      <c r="I532" s="27">
        <v>31.9</v>
      </c>
      <c r="J532" s="27">
        <v>25.4</v>
      </c>
      <c r="K532" s="27" t="s">
        <v>9</v>
      </c>
      <c r="L532" s="35">
        <v>78.75</v>
      </c>
      <c r="M532" s="13" t="s">
        <v>16</v>
      </c>
      <c r="N532" s="29">
        <v>1008.1</v>
      </c>
      <c r="O532" s="30">
        <v>87.477795424947232</v>
      </c>
      <c r="P532" s="30">
        <v>70.200176883347638</v>
      </c>
      <c r="Q532" s="73">
        <v>83.605010532380632</v>
      </c>
      <c r="R532" s="8">
        <v>83</v>
      </c>
      <c r="S532" s="31">
        <v>3.0833333333333335</v>
      </c>
      <c r="T532" s="31" t="s">
        <v>19</v>
      </c>
      <c r="U532" s="31">
        <v>9</v>
      </c>
      <c r="V532" s="31" t="s">
        <v>7</v>
      </c>
    </row>
    <row r="533" spans="1:22" s="53" customFormat="1" x14ac:dyDescent="0.35">
      <c r="A533" s="2">
        <v>43205</v>
      </c>
      <c r="B533" s="3">
        <f t="shared" si="30"/>
        <v>2018</v>
      </c>
      <c r="C533" s="3">
        <f t="shared" si="31"/>
        <v>4</v>
      </c>
      <c r="D533" s="3">
        <f t="shared" si="32"/>
        <v>15</v>
      </c>
      <c r="E533" s="72">
        <v>27.3</v>
      </c>
      <c r="F533" s="72">
        <v>31.6</v>
      </c>
      <c r="G533" s="72">
        <v>29.6</v>
      </c>
      <c r="H533" s="34">
        <v>28.7</v>
      </c>
      <c r="I533" s="27">
        <v>32</v>
      </c>
      <c r="J533" s="27">
        <v>24.8</v>
      </c>
      <c r="K533" s="27" t="s">
        <v>9</v>
      </c>
      <c r="L533" s="35">
        <v>100</v>
      </c>
      <c r="M533" s="13" t="s">
        <v>16</v>
      </c>
      <c r="N533" s="29">
        <v>1007.5</v>
      </c>
      <c r="O533" s="30">
        <v>89.026749967079283</v>
      </c>
      <c r="P533" s="30">
        <v>70.085992916873224</v>
      </c>
      <c r="Q533" s="73">
        <v>80.999487208758154</v>
      </c>
      <c r="R533" s="8">
        <v>81</v>
      </c>
      <c r="S533" s="31">
        <v>3.0416666666666665</v>
      </c>
      <c r="T533" s="31" t="s">
        <v>19</v>
      </c>
      <c r="U533" s="31">
        <v>9</v>
      </c>
      <c r="V533" s="31" t="s">
        <v>3</v>
      </c>
    </row>
    <row r="534" spans="1:22" s="53" customFormat="1" x14ac:dyDescent="0.35">
      <c r="A534" s="2">
        <v>43206</v>
      </c>
      <c r="B534" s="3">
        <f t="shared" si="30"/>
        <v>2018</v>
      </c>
      <c r="C534" s="3">
        <f t="shared" si="31"/>
        <v>4</v>
      </c>
      <c r="D534" s="3">
        <f t="shared" si="32"/>
        <v>16</v>
      </c>
      <c r="E534" s="72">
        <v>27</v>
      </c>
      <c r="F534" s="72">
        <v>32.1</v>
      </c>
      <c r="G534" s="72">
        <v>29.6</v>
      </c>
      <c r="H534" s="34">
        <v>28.8</v>
      </c>
      <c r="I534" s="27">
        <v>32.5</v>
      </c>
      <c r="J534" s="27">
        <v>25.5</v>
      </c>
      <c r="K534" s="27">
        <v>1</v>
      </c>
      <c r="L534" s="35">
        <v>100</v>
      </c>
      <c r="M534" s="13" t="s">
        <v>11</v>
      </c>
      <c r="N534" s="29">
        <v>1007.7</v>
      </c>
      <c r="O534" s="30">
        <v>84.392875079781277</v>
      </c>
      <c r="P534" s="30">
        <v>63.692447164905488</v>
      </c>
      <c r="Q534" s="73">
        <v>74.166461988785088</v>
      </c>
      <c r="R534" s="8">
        <v>80</v>
      </c>
      <c r="S534" s="31">
        <v>2.5416666666666665</v>
      </c>
      <c r="T534" s="31" t="s">
        <v>19</v>
      </c>
      <c r="U534" s="31">
        <v>10</v>
      </c>
      <c r="V534" s="31" t="s">
        <v>2</v>
      </c>
    </row>
    <row r="535" spans="1:22" s="53" customFormat="1" x14ac:dyDescent="0.35">
      <c r="A535" s="2">
        <v>43207</v>
      </c>
      <c r="B535" s="3">
        <f t="shared" si="30"/>
        <v>2018</v>
      </c>
      <c r="C535" s="3">
        <f t="shared" si="31"/>
        <v>4</v>
      </c>
      <c r="D535" s="3">
        <f t="shared" si="32"/>
        <v>17</v>
      </c>
      <c r="E535" s="72">
        <v>27</v>
      </c>
      <c r="F535" s="72">
        <v>30.8</v>
      </c>
      <c r="G535" s="72">
        <v>29.2</v>
      </c>
      <c r="H535" s="34">
        <v>27.9</v>
      </c>
      <c r="I535" s="27">
        <v>31.8</v>
      </c>
      <c r="J535" s="27">
        <v>24.6</v>
      </c>
      <c r="K535" s="27">
        <v>7.5</v>
      </c>
      <c r="L535" s="35">
        <v>81.25</v>
      </c>
      <c r="M535" s="13" t="s">
        <v>11</v>
      </c>
      <c r="N535" s="29">
        <v>1009.8</v>
      </c>
      <c r="O535" s="30">
        <v>87.423208278318512</v>
      </c>
      <c r="P535" s="30">
        <v>70.893374555716719</v>
      </c>
      <c r="Q535" s="73">
        <v>78.75045080083396</v>
      </c>
      <c r="R535" s="8">
        <v>83</v>
      </c>
      <c r="S535" s="31">
        <v>2.5416666666666665</v>
      </c>
      <c r="T535" s="31" t="s">
        <v>19</v>
      </c>
      <c r="U535" s="31">
        <v>10</v>
      </c>
      <c r="V535" s="31" t="s">
        <v>2</v>
      </c>
    </row>
    <row r="536" spans="1:22" s="53" customFormat="1" x14ac:dyDescent="0.35">
      <c r="A536" s="2">
        <v>43208</v>
      </c>
      <c r="B536" s="3">
        <f t="shared" si="30"/>
        <v>2018</v>
      </c>
      <c r="C536" s="3">
        <f t="shared" si="31"/>
        <v>4</v>
      </c>
      <c r="D536" s="3">
        <f t="shared" si="32"/>
        <v>18</v>
      </c>
      <c r="E536" s="72">
        <v>26.8</v>
      </c>
      <c r="F536" s="72">
        <v>30.6</v>
      </c>
      <c r="G536" s="72">
        <v>28.8</v>
      </c>
      <c r="H536" s="34">
        <v>28.2</v>
      </c>
      <c r="I536" s="27">
        <v>31.6</v>
      </c>
      <c r="J536" s="27">
        <v>25.6</v>
      </c>
      <c r="K536" s="27" t="s">
        <v>9</v>
      </c>
      <c r="L536" s="35">
        <v>97.5</v>
      </c>
      <c r="M536" s="13" t="s">
        <v>13</v>
      </c>
      <c r="N536" s="29">
        <v>1009.2</v>
      </c>
      <c r="O536" s="30">
        <v>87.368039151312885</v>
      </c>
      <c r="P536" s="30">
        <v>69.497529564433663</v>
      </c>
      <c r="Q536" s="73">
        <v>80.685591648276528</v>
      </c>
      <c r="R536" s="8">
        <v>83</v>
      </c>
      <c r="S536" s="31">
        <v>1.9166666666666667</v>
      </c>
      <c r="T536" s="31" t="s">
        <v>19</v>
      </c>
      <c r="U536" s="31">
        <v>7</v>
      </c>
      <c r="V536" s="31" t="s">
        <v>7</v>
      </c>
    </row>
    <row r="537" spans="1:22" s="53" customFormat="1" x14ac:dyDescent="0.35">
      <c r="A537" s="2">
        <v>43209</v>
      </c>
      <c r="B537" s="3">
        <f t="shared" si="30"/>
        <v>2018</v>
      </c>
      <c r="C537" s="3">
        <f t="shared" si="31"/>
        <v>4</v>
      </c>
      <c r="D537" s="3">
        <f t="shared" si="32"/>
        <v>19</v>
      </c>
      <c r="E537" s="72">
        <v>26.6</v>
      </c>
      <c r="F537" s="72">
        <v>31.3</v>
      </c>
      <c r="G537" s="72">
        <v>29.2</v>
      </c>
      <c r="H537" s="34">
        <v>28.8</v>
      </c>
      <c r="I537" s="27">
        <v>32</v>
      </c>
      <c r="J537" s="27">
        <v>25.4</v>
      </c>
      <c r="K537" s="27"/>
      <c r="L537" s="35">
        <v>87.5</v>
      </c>
      <c r="M537" s="13" t="s">
        <v>11</v>
      </c>
      <c r="N537" s="29">
        <v>1008.8</v>
      </c>
      <c r="O537" s="30">
        <v>88.08362644659897</v>
      </c>
      <c r="P537" s="30">
        <v>58.366470092206576</v>
      </c>
      <c r="Q537" s="73">
        <v>71.268343418547644</v>
      </c>
      <c r="R537" s="8">
        <v>75</v>
      </c>
      <c r="S537" s="31">
        <v>3.875</v>
      </c>
      <c r="T537" s="31" t="s">
        <v>3</v>
      </c>
      <c r="U537" s="31">
        <v>7</v>
      </c>
      <c r="V537" s="31" t="s">
        <v>5</v>
      </c>
    </row>
    <row r="538" spans="1:22" s="53" customFormat="1" x14ac:dyDescent="0.35">
      <c r="A538" s="2">
        <v>43210</v>
      </c>
      <c r="B538" s="3">
        <f t="shared" si="30"/>
        <v>2018</v>
      </c>
      <c r="C538" s="3">
        <f t="shared" si="31"/>
        <v>4</v>
      </c>
      <c r="D538" s="3">
        <f t="shared" si="32"/>
        <v>20</v>
      </c>
      <c r="E538" s="72">
        <v>27.2</v>
      </c>
      <c r="F538" s="72">
        <v>32</v>
      </c>
      <c r="G538" s="72">
        <v>29.2</v>
      </c>
      <c r="H538" s="34">
        <v>28.4</v>
      </c>
      <c r="I538" s="27">
        <v>32.4</v>
      </c>
      <c r="J538" s="27">
        <v>24.4</v>
      </c>
      <c r="K538" s="27">
        <v>13</v>
      </c>
      <c r="L538" s="35">
        <v>100</v>
      </c>
      <c r="M538" s="13" t="s">
        <v>17</v>
      </c>
      <c r="N538" s="29">
        <v>1008</v>
      </c>
      <c r="O538" s="30">
        <v>86.719384469379108</v>
      </c>
      <c r="P538" s="30">
        <v>65.42092889006355</v>
      </c>
      <c r="Q538" s="73">
        <v>75.311981910915833</v>
      </c>
      <c r="R538" s="8">
        <v>80</v>
      </c>
      <c r="S538" s="31">
        <v>4.041666666666667</v>
      </c>
      <c r="T538" s="31" t="s">
        <v>7</v>
      </c>
      <c r="U538" s="31">
        <v>8</v>
      </c>
      <c r="V538" s="31" t="s">
        <v>3</v>
      </c>
    </row>
    <row r="539" spans="1:22" s="53" customFormat="1" x14ac:dyDescent="0.35">
      <c r="A539" s="2">
        <v>43211</v>
      </c>
      <c r="B539" s="3">
        <f t="shared" si="30"/>
        <v>2018</v>
      </c>
      <c r="C539" s="3">
        <f t="shared" si="31"/>
        <v>4</v>
      </c>
      <c r="D539" s="3">
        <f t="shared" si="32"/>
        <v>21</v>
      </c>
      <c r="E539" s="72">
        <v>26.8</v>
      </c>
      <c r="F539" s="72">
        <v>31</v>
      </c>
      <c r="G539" s="72">
        <v>25.4</v>
      </c>
      <c r="H539" s="34">
        <v>27.8</v>
      </c>
      <c r="I539" s="27">
        <v>32</v>
      </c>
      <c r="J539" s="27">
        <v>25.4</v>
      </c>
      <c r="K539" s="27">
        <v>3.5</v>
      </c>
      <c r="L539" s="35">
        <v>81.25</v>
      </c>
      <c r="M539" s="13" t="s">
        <v>17</v>
      </c>
      <c r="N539" s="29">
        <v>1008.4</v>
      </c>
      <c r="O539" s="30">
        <v>92.018120751957582</v>
      </c>
      <c r="P539" s="30">
        <v>72.287240431149485</v>
      </c>
      <c r="Q539" s="73">
        <v>95.022497897906916</v>
      </c>
      <c r="R539" s="8">
        <v>85</v>
      </c>
      <c r="S539" s="31">
        <v>2.2916666666666665</v>
      </c>
      <c r="T539" s="31" t="s">
        <v>19</v>
      </c>
      <c r="U539" s="31">
        <v>9</v>
      </c>
      <c r="V539" s="31" t="s">
        <v>3</v>
      </c>
    </row>
    <row r="540" spans="1:22" s="53" customFormat="1" x14ac:dyDescent="0.35">
      <c r="A540" s="2">
        <v>43212</v>
      </c>
      <c r="B540" s="3">
        <f t="shared" si="30"/>
        <v>2018</v>
      </c>
      <c r="C540" s="3">
        <f t="shared" si="31"/>
        <v>4</v>
      </c>
      <c r="D540" s="3">
        <f t="shared" si="32"/>
        <v>22</v>
      </c>
      <c r="E540" s="72">
        <v>27.2</v>
      </c>
      <c r="F540" s="72">
        <v>27.6</v>
      </c>
      <c r="G540" s="72">
        <v>27.9</v>
      </c>
      <c r="H540" s="34">
        <v>27.7</v>
      </c>
      <c r="I540" s="27">
        <v>32</v>
      </c>
      <c r="J540" s="27">
        <v>26</v>
      </c>
      <c r="K540" s="27"/>
      <c r="L540" s="35">
        <v>53.75</v>
      </c>
      <c r="M540" s="13" t="s">
        <v>17</v>
      </c>
      <c r="N540" s="29">
        <v>1007.6</v>
      </c>
      <c r="O540" s="30">
        <v>85.963750093840446</v>
      </c>
      <c r="P540" s="30">
        <v>81.647132592884702</v>
      </c>
      <c r="Q540" s="73">
        <v>86.917377507984355</v>
      </c>
      <c r="R540" s="8">
        <v>85</v>
      </c>
      <c r="S540" s="31">
        <v>2.4166666666666665</v>
      </c>
      <c r="T540" s="31" t="s">
        <v>19</v>
      </c>
      <c r="U540" s="31">
        <v>10</v>
      </c>
      <c r="V540" s="31" t="s">
        <v>8</v>
      </c>
    </row>
    <row r="541" spans="1:22" s="53" customFormat="1" x14ac:dyDescent="0.35">
      <c r="A541" s="2">
        <v>43213</v>
      </c>
      <c r="B541" s="3">
        <f t="shared" si="30"/>
        <v>2018</v>
      </c>
      <c r="C541" s="3">
        <f t="shared" si="31"/>
        <v>4</v>
      </c>
      <c r="D541" s="3">
        <f t="shared" si="32"/>
        <v>23</v>
      </c>
      <c r="E541" s="72">
        <v>26.4</v>
      </c>
      <c r="F541" s="72">
        <v>29.2</v>
      </c>
      <c r="G541" s="72">
        <v>29</v>
      </c>
      <c r="H541" s="34">
        <v>27.9</v>
      </c>
      <c r="I541" s="27">
        <v>31.4</v>
      </c>
      <c r="J541" s="27">
        <v>25.2</v>
      </c>
      <c r="K541" s="27" t="s">
        <v>9</v>
      </c>
      <c r="L541" s="35">
        <v>12.5</v>
      </c>
      <c r="M541" s="13" t="s">
        <v>18</v>
      </c>
      <c r="N541" s="29">
        <v>1007.8</v>
      </c>
      <c r="O541" s="30">
        <v>84.184813194407482</v>
      </c>
      <c r="P541" s="30">
        <v>76.679780168469648</v>
      </c>
      <c r="Q541" s="73">
        <v>75.209916123495276</v>
      </c>
      <c r="R541" s="8">
        <v>82</v>
      </c>
      <c r="S541" s="31">
        <v>3.4583333333333335</v>
      </c>
      <c r="T541" s="31" t="s">
        <v>19</v>
      </c>
      <c r="U541" s="88">
        <v>9</v>
      </c>
      <c r="V541" s="88" t="s">
        <v>3</v>
      </c>
    </row>
    <row r="542" spans="1:22" s="53" customFormat="1" x14ac:dyDescent="0.35">
      <c r="A542" s="2">
        <v>43214</v>
      </c>
      <c r="B542" s="3">
        <f t="shared" si="30"/>
        <v>2018</v>
      </c>
      <c r="C542" s="3">
        <f t="shared" si="31"/>
        <v>4</v>
      </c>
      <c r="D542" s="3">
        <f t="shared" si="32"/>
        <v>24</v>
      </c>
      <c r="E542" s="72">
        <v>26.2</v>
      </c>
      <c r="F542" s="72">
        <v>30.6</v>
      </c>
      <c r="G542" s="72">
        <v>29.4</v>
      </c>
      <c r="H542" s="34">
        <v>28.4</v>
      </c>
      <c r="I542" s="27">
        <v>31.4</v>
      </c>
      <c r="J542" s="27">
        <v>25</v>
      </c>
      <c r="K542" s="27" t="s">
        <v>9</v>
      </c>
      <c r="L542" s="35">
        <v>56.25</v>
      </c>
      <c r="M542" s="13" t="s">
        <v>16</v>
      </c>
      <c r="N542" s="29">
        <v>1007.7</v>
      </c>
      <c r="O542" s="30">
        <v>86.423491210494802</v>
      </c>
      <c r="P542" s="30">
        <v>70.778443254701287</v>
      </c>
      <c r="Q542" s="73">
        <v>72.718666055923123</v>
      </c>
      <c r="R542" s="8">
        <v>80</v>
      </c>
      <c r="S542" s="31">
        <v>3.0416666666666665</v>
      </c>
      <c r="T542" s="31" t="s">
        <v>19</v>
      </c>
      <c r="U542" s="31">
        <v>8</v>
      </c>
      <c r="V542" s="31" t="s">
        <v>2</v>
      </c>
    </row>
    <row r="543" spans="1:22" s="53" customFormat="1" x14ac:dyDescent="0.35">
      <c r="A543" s="2">
        <v>43215</v>
      </c>
      <c r="B543" s="3">
        <f t="shared" si="30"/>
        <v>2018</v>
      </c>
      <c r="C543" s="3">
        <f t="shared" si="31"/>
        <v>4</v>
      </c>
      <c r="D543" s="3">
        <f t="shared" si="32"/>
        <v>25</v>
      </c>
      <c r="E543" s="72">
        <v>26.3</v>
      </c>
      <c r="F543" s="72">
        <v>31.2</v>
      </c>
      <c r="G543" s="72">
        <v>28.8</v>
      </c>
      <c r="H543" s="34">
        <v>28</v>
      </c>
      <c r="I543" s="27">
        <v>31.4</v>
      </c>
      <c r="J543" s="27">
        <v>25.2</v>
      </c>
      <c r="K543" s="27" t="s">
        <v>9</v>
      </c>
      <c r="L543" s="35">
        <v>100</v>
      </c>
      <c r="M543" s="13" t="s">
        <v>16</v>
      </c>
      <c r="N543" s="29">
        <v>1008.3</v>
      </c>
      <c r="O543" s="30">
        <v>89.565679958987744</v>
      </c>
      <c r="P543" s="30">
        <v>61.251613915834604</v>
      </c>
      <c r="Q543" s="73">
        <v>73.737489280068019</v>
      </c>
      <c r="R543" s="8">
        <v>80</v>
      </c>
      <c r="S543" s="31">
        <v>3.25</v>
      </c>
      <c r="T543" s="31" t="s">
        <v>19</v>
      </c>
      <c r="U543" s="31">
        <v>8</v>
      </c>
      <c r="V543" s="31" t="s">
        <v>2</v>
      </c>
    </row>
    <row r="544" spans="1:22" s="53" customFormat="1" x14ac:dyDescent="0.35">
      <c r="A544" s="2">
        <v>43216</v>
      </c>
      <c r="B544" s="3">
        <f t="shared" si="30"/>
        <v>2018</v>
      </c>
      <c r="C544" s="3">
        <f t="shared" si="31"/>
        <v>4</v>
      </c>
      <c r="D544" s="3">
        <f t="shared" si="32"/>
        <v>26</v>
      </c>
      <c r="E544" s="72">
        <v>26.8</v>
      </c>
      <c r="F544" s="72">
        <v>31</v>
      </c>
      <c r="G544" s="72">
        <v>29</v>
      </c>
      <c r="H544" s="34">
        <v>28.2</v>
      </c>
      <c r="I544" s="27">
        <v>31.6</v>
      </c>
      <c r="J544" s="27">
        <v>24.8</v>
      </c>
      <c r="K544" s="27" t="s">
        <v>9</v>
      </c>
      <c r="L544" s="35">
        <v>100</v>
      </c>
      <c r="M544" s="13" t="s">
        <v>16</v>
      </c>
      <c r="N544" s="29">
        <v>1009.2</v>
      </c>
      <c r="O544" s="30">
        <v>85.840587858319296</v>
      </c>
      <c r="P544" s="30">
        <v>69.104671179831925</v>
      </c>
      <c r="Q544" s="73">
        <v>75.209916123495276</v>
      </c>
      <c r="R544" s="8">
        <v>80</v>
      </c>
      <c r="S544" s="31">
        <v>4.166666666666667</v>
      </c>
      <c r="T544" s="31" t="s">
        <v>3</v>
      </c>
      <c r="U544" s="31">
        <v>10</v>
      </c>
      <c r="V544" s="31" t="s">
        <v>7</v>
      </c>
    </row>
    <row r="545" spans="1:22" s="53" customFormat="1" x14ac:dyDescent="0.35">
      <c r="A545" s="2">
        <v>43217</v>
      </c>
      <c r="B545" s="3">
        <f t="shared" si="30"/>
        <v>2018</v>
      </c>
      <c r="C545" s="3">
        <f t="shared" si="31"/>
        <v>4</v>
      </c>
      <c r="D545" s="3">
        <f t="shared" si="32"/>
        <v>27</v>
      </c>
      <c r="E545" s="72">
        <v>26.6</v>
      </c>
      <c r="F545" s="72">
        <v>31.4</v>
      </c>
      <c r="G545" s="72">
        <v>29</v>
      </c>
      <c r="H545" s="34">
        <v>28.4</v>
      </c>
      <c r="I545" s="27">
        <v>32</v>
      </c>
      <c r="J545" s="27">
        <v>25</v>
      </c>
      <c r="K545" s="27" t="s">
        <v>9</v>
      </c>
      <c r="L545" s="35">
        <v>100</v>
      </c>
      <c r="M545" s="13" t="s">
        <v>16</v>
      </c>
      <c r="N545" s="29">
        <v>1010.1</v>
      </c>
      <c r="O545" s="30">
        <v>85.778016219296006</v>
      </c>
      <c r="P545" s="30">
        <v>63.805518549149632</v>
      </c>
      <c r="Q545" s="73">
        <v>76.583468902286143</v>
      </c>
      <c r="R545" s="8">
        <v>79</v>
      </c>
      <c r="S545" s="31">
        <v>3.7916666666666665</v>
      </c>
      <c r="T545" s="31" t="s">
        <v>19</v>
      </c>
      <c r="U545" s="31">
        <v>10</v>
      </c>
      <c r="V545" s="31" t="s">
        <v>3</v>
      </c>
    </row>
    <row r="546" spans="1:22" s="53" customFormat="1" x14ac:dyDescent="0.35">
      <c r="A546" s="2">
        <v>43218</v>
      </c>
      <c r="B546" s="3">
        <f t="shared" si="30"/>
        <v>2018</v>
      </c>
      <c r="C546" s="3">
        <f t="shared" si="31"/>
        <v>4</v>
      </c>
      <c r="D546" s="3">
        <f t="shared" si="32"/>
        <v>28</v>
      </c>
      <c r="E546" s="72">
        <v>26.4</v>
      </c>
      <c r="F546" s="72">
        <v>32.200000000000003</v>
      </c>
      <c r="G546" s="72">
        <v>29</v>
      </c>
      <c r="H546" s="34">
        <v>28.2</v>
      </c>
      <c r="I546" s="27">
        <v>32.6</v>
      </c>
      <c r="J546" s="27">
        <v>24</v>
      </c>
      <c r="K546" s="27" t="s">
        <v>9</v>
      </c>
      <c r="L546" s="35">
        <v>100</v>
      </c>
      <c r="M546" s="13" t="s">
        <v>16</v>
      </c>
      <c r="N546" s="29">
        <v>1011.2</v>
      </c>
      <c r="O546" s="30">
        <v>85.714771674595454</v>
      </c>
      <c r="P546" s="30">
        <v>60.820648257169466</v>
      </c>
      <c r="Q546" s="73">
        <v>72.492860597196724</v>
      </c>
      <c r="R546" s="8">
        <v>73</v>
      </c>
      <c r="S546" s="31">
        <v>4.208333333333333</v>
      </c>
      <c r="T546" s="31" t="s">
        <v>7</v>
      </c>
      <c r="U546" s="31">
        <v>8</v>
      </c>
      <c r="V546" s="31" t="s">
        <v>7</v>
      </c>
    </row>
    <row r="547" spans="1:22" s="53" customFormat="1" x14ac:dyDescent="0.35">
      <c r="A547" s="2">
        <v>43219</v>
      </c>
      <c r="B547" s="3">
        <f t="shared" si="30"/>
        <v>2018</v>
      </c>
      <c r="C547" s="3">
        <f t="shared" si="31"/>
        <v>4</v>
      </c>
      <c r="D547" s="3">
        <f t="shared" si="32"/>
        <v>29</v>
      </c>
      <c r="E547" s="72">
        <v>25.7</v>
      </c>
      <c r="F547" s="72">
        <v>31</v>
      </c>
      <c r="G547" s="72">
        <v>28.6</v>
      </c>
      <c r="H547" s="34">
        <v>28</v>
      </c>
      <c r="I547" s="27">
        <v>31.6</v>
      </c>
      <c r="J547" s="27">
        <v>24</v>
      </c>
      <c r="K547" s="27" t="s">
        <v>9</v>
      </c>
      <c r="L547" s="35">
        <v>100</v>
      </c>
      <c r="M547" s="13" t="s">
        <v>16</v>
      </c>
      <c r="N547" s="29">
        <v>1010.9</v>
      </c>
      <c r="O547" s="30">
        <v>75.581196613774651</v>
      </c>
      <c r="P547" s="30">
        <v>54.616912114400193</v>
      </c>
      <c r="Q547" s="73">
        <v>68.892717196522256</v>
      </c>
      <c r="R547" s="8">
        <v>72</v>
      </c>
      <c r="S547" s="31">
        <v>3.625</v>
      </c>
      <c r="T547" s="31" t="s">
        <v>19</v>
      </c>
      <c r="U547" s="31">
        <v>8</v>
      </c>
      <c r="V547" s="31" t="s">
        <v>2</v>
      </c>
    </row>
    <row r="548" spans="1:22" s="53" customFormat="1" x14ac:dyDescent="0.35">
      <c r="A548" s="2">
        <v>43220</v>
      </c>
      <c r="B548" s="3">
        <f t="shared" si="30"/>
        <v>2018</v>
      </c>
      <c r="C548" s="3">
        <f t="shared" si="31"/>
        <v>4</v>
      </c>
      <c r="D548" s="3">
        <f t="shared" si="32"/>
        <v>30</v>
      </c>
      <c r="E548" s="72">
        <v>26</v>
      </c>
      <c r="F548" s="72">
        <v>32.200000000000003</v>
      </c>
      <c r="G548" s="72">
        <v>28.8</v>
      </c>
      <c r="H548" s="34">
        <v>28.3</v>
      </c>
      <c r="I548" s="27">
        <v>33.200000000000003</v>
      </c>
      <c r="J548" s="27">
        <v>0</v>
      </c>
      <c r="K548" s="27" t="s">
        <v>9</v>
      </c>
      <c r="L548" s="35">
        <v>100</v>
      </c>
      <c r="M548" s="13" t="s">
        <v>16</v>
      </c>
      <c r="N548" s="29">
        <v>1010</v>
      </c>
      <c r="O548" s="30">
        <v>79.477230089141216</v>
      </c>
      <c r="P548" s="30">
        <v>46.369509900982301</v>
      </c>
      <c r="Q548" s="73">
        <v>71.02877367431519</v>
      </c>
      <c r="R548" s="8">
        <v>69</v>
      </c>
      <c r="S548" s="31">
        <v>4.458333333333333</v>
      </c>
      <c r="T548" s="31" t="s">
        <v>3</v>
      </c>
      <c r="U548" s="31">
        <v>10</v>
      </c>
      <c r="V548" s="31" t="s">
        <v>3</v>
      </c>
    </row>
    <row r="549" spans="1:22" s="53" customFormat="1" x14ac:dyDescent="0.35">
      <c r="A549" s="2">
        <v>43221</v>
      </c>
      <c r="B549" s="3">
        <f t="shared" si="30"/>
        <v>2018</v>
      </c>
      <c r="C549" s="3">
        <f t="shared" si="31"/>
        <v>5</v>
      </c>
      <c r="D549" s="3">
        <f t="shared" si="32"/>
        <v>1</v>
      </c>
      <c r="E549" s="36">
        <v>25.8</v>
      </c>
      <c r="F549" s="36">
        <v>31.8</v>
      </c>
      <c r="G549" s="36">
        <v>28.8</v>
      </c>
      <c r="H549" s="34">
        <v>27.7</v>
      </c>
      <c r="I549" s="13">
        <v>31.9</v>
      </c>
      <c r="J549" s="13">
        <v>24</v>
      </c>
      <c r="K549" s="19" t="s">
        <v>9</v>
      </c>
      <c r="L549" s="74">
        <v>100</v>
      </c>
      <c r="M549" s="13" t="s">
        <v>16</v>
      </c>
      <c r="N549" s="13">
        <v>1010.1</v>
      </c>
      <c r="O549" s="8">
        <v>82.430151826947267</v>
      </c>
      <c r="P549" s="8">
        <v>60.520376174788602</v>
      </c>
      <c r="Q549" s="8">
        <v>76.486153106181604</v>
      </c>
      <c r="R549" s="8">
        <v>73</v>
      </c>
      <c r="S549" s="20">
        <v>4.541666666666667</v>
      </c>
      <c r="T549" s="8" t="s">
        <v>3</v>
      </c>
      <c r="U549" s="20">
        <v>8</v>
      </c>
      <c r="V549" s="20" t="s">
        <v>8</v>
      </c>
    </row>
    <row r="550" spans="1:22" s="53" customFormat="1" x14ac:dyDescent="0.35">
      <c r="A550" s="2">
        <v>43222</v>
      </c>
      <c r="B550" s="3">
        <f t="shared" si="30"/>
        <v>2018</v>
      </c>
      <c r="C550" s="3">
        <f t="shared" si="31"/>
        <v>5</v>
      </c>
      <c r="D550" s="3">
        <f t="shared" si="32"/>
        <v>2</v>
      </c>
      <c r="E550" s="36">
        <v>25.8</v>
      </c>
      <c r="F550" s="36">
        <v>31.6</v>
      </c>
      <c r="G550" s="36">
        <v>28.2</v>
      </c>
      <c r="H550" s="34">
        <v>27.5</v>
      </c>
      <c r="I550" s="13">
        <v>32.200000000000003</v>
      </c>
      <c r="J550" s="13">
        <v>24</v>
      </c>
      <c r="K550" s="19" t="s">
        <v>9</v>
      </c>
      <c r="L550" s="74">
        <v>76.25</v>
      </c>
      <c r="M550" s="13" t="s">
        <v>16</v>
      </c>
      <c r="N550" s="13">
        <v>1011</v>
      </c>
      <c r="O550" s="8">
        <v>71.956916711355589</v>
      </c>
      <c r="P550" s="8">
        <v>52.320594499015691</v>
      </c>
      <c r="Q550" s="8">
        <v>73.403801579739962</v>
      </c>
      <c r="R550" s="8">
        <v>71</v>
      </c>
      <c r="S550" s="20">
        <v>2.8333333333333335</v>
      </c>
      <c r="T550" s="8" t="s">
        <v>19</v>
      </c>
      <c r="U550" s="20">
        <v>7</v>
      </c>
      <c r="V550" s="20" t="s">
        <v>3</v>
      </c>
    </row>
    <row r="551" spans="1:22" s="53" customFormat="1" x14ac:dyDescent="0.35">
      <c r="A551" s="2">
        <v>43223</v>
      </c>
      <c r="B551" s="3">
        <f t="shared" si="30"/>
        <v>2018</v>
      </c>
      <c r="C551" s="3">
        <f t="shared" si="31"/>
        <v>5</v>
      </c>
      <c r="D551" s="3">
        <f t="shared" si="32"/>
        <v>3</v>
      </c>
      <c r="E551" s="36">
        <v>25.2</v>
      </c>
      <c r="F551" s="36">
        <v>30.6</v>
      </c>
      <c r="G551" s="36">
        <v>28.8</v>
      </c>
      <c r="H551" s="34">
        <v>27.8</v>
      </c>
      <c r="I551" s="13">
        <v>31.2</v>
      </c>
      <c r="J551" s="13">
        <v>24.2</v>
      </c>
      <c r="K551" s="19" t="s">
        <v>9</v>
      </c>
      <c r="L551" s="74">
        <v>100</v>
      </c>
      <c r="M551" s="13" t="s">
        <v>16</v>
      </c>
      <c r="N551" s="13">
        <v>1011.1</v>
      </c>
      <c r="O551" s="8">
        <v>79.0972186919183</v>
      </c>
      <c r="P551" s="8">
        <v>63.232426930814391</v>
      </c>
      <c r="Q551" s="8">
        <v>68.359313222541118</v>
      </c>
      <c r="R551" s="8">
        <v>75</v>
      </c>
      <c r="S551" s="20">
        <v>3.5</v>
      </c>
      <c r="T551" s="8" t="s">
        <v>19</v>
      </c>
      <c r="U551" s="20">
        <v>8</v>
      </c>
      <c r="V551" s="20" t="s">
        <v>7</v>
      </c>
    </row>
    <row r="552" spans="1:22" s="53" customFormat="1" x14ac:dyDescent="0.35">
      <c r="A552" s="2">
        <v>43224</v>
      </c>
      <c r="B552" s="3">
        <f t="shared" si="30"/>
        <v>2018</v>
      </c>
      <c r="C552" s="3">
        <f t="shared" si="31"/>
        <v>5</v>
      </c>
      <c r="D552" s="3">
        <f t="shared" si="32"/>
        <v>4</v>
      </c>
      <c r="E552" s="36">
        <v>25.4</v>
      </c>
      <c r="F552" s="36">
        <v>31.2</v>
      </c>
      <c r="G552" s="36">
        <v>29</v>
      </c>
      <c r="H552" s="34">
        <v>27.7</v>
      </c>
      <c r="I552" s="13">
        <v>31.6</v>
      </c>
      <c r="J552" s="13">
        <v>22.6</v>
      </c>
      <c r="K552" s="19" t="s">
        <v>9</v>
      </c>
      <c r="L552" s="74">
        <v>100</v>
      </c>
      <c r="M552" s="13" t="s">
        <v>16</v>
      </c>
      <c r="N552" s="13">
        <v>1011.2</v>
      </c>
      <c r="O552" s="8">
        <v>77.672865172438989</v>
      </c>
      <c r="P552" s="8">
        <v>58.87391529868782</v>
      </c>
      <c r="Q552" s="8">
        <v>71.149184188620822</v>
      </c>
      <c r="R552" s="8">
        <v>72</v>
      </c>
      <c r="S552" s="20">
        <v>3.9583333333333335</v>
      </c>
      <c r="T552" s="8" t="s">
        <v>19</v>
      </c>
      <c r="U552" s="20">
        <v>11</v>
      </c>
      <c r="V552" s="20" t="s">
        <v>7</v>
      </c>
    </row>
    <row r="553" spans="1:22" s="53" customFormat="1" x14ac:dyDescent="0.35">
      <c r="A553" s="2">
        <v>43225</v>
      </c>
      <c r="B553" s="3">
        <f t="shared" si="30"/>
        <v>2018</v>
      </c>
      <c r="C553" s="3">
        <f t="shared" si="31"/>
        <v>5</v>
      </c>
      <c r="D553" s="3">
        <f t="shared" si="32"/>
        <v>5</v>
      </c>
      <c r="E553" s="36">
        <v>25.2</v>
      </c>
      <c r="F553" s="36">
        <v>31.3</v>
      </c>
      <c r="G553" s="36">
        <v>29.2</v>
      </c>
      <c r="H553" s="34">
        <v>28.6</v>
      </c>
      <c r="I553" s="13">
        <v>31.8</v>
      </c>
      <c r="J553" s="13">
        <v>24.8</v>
      </c>
      <c r="K553" s="19" t="s">
        <v>9</v>
      </c>
      <c r="L553" s="74">
        <v>97.5</v>
      </c>
      <c r="M553" s="13" t="s">
        <v>16</v>
      </c>
      <c r="N553" s="13">
        <v>1012</v>
      </c>
      <c r="O553" s="8">
        <v>79.0972186919183</v>
      </c>
      <c r="P553" s="8">
        <v>60.136389987525241</v>
      </c>
      <c r="Q553" s="8">
        <v>68.621521496128793</v>
      </c>
      <c r="R553" s="8">
        <v>73</v>
      </c>
      <c r="S553" s="20">
        <v>5.375</v>
      </c>
      <c r="T553" s="8" t="s">
        <v>3</v>
      </c>
      <c r="U553" s="20">
        <v>10</v>
      </c>
      <c r="V553" s="20" t="s">
        <v>3</v>
      </c>
    </row>
    <row r="554" spans="1:22" s="53" customFormat="1" x14ac:dyDescent="0.35">
      <c r="A554" s="2">
        <v>43226</v>
      </c>
      <c r="B554" s="3">
        <f t="shared" si="30"/>
        <v>2018</v>
      </c>
      <c r="C554" s="3">
        <f t="shared" si="31"/>
        <v>5</v>
      </c>
      <c r="D554" s="3">
        <f t="shared" si="32"/>
        <v>6</v>
      </c>
      <c r="E554" s="36">
        <v>27</v>
      </c>
      <c r="F554" s="36">
        <v>32.200000000000003</v>
      </c>
      <c r="G554" s="36">
        <v>30</v>
      </c>
      <c r="H554" s="34">
        <v>28.7</v>
      </c>
      <c r="I554" s="13">
        <v>32.6</v>
      </c>
      <c r="J554" s="13">
        <v>24.6</v>
      </c>
      <c r="K554" s="19" t="s">
        <v>9</v>
      </c>
      <c r="L554" s="74">
        <v>100</v>
      </c>
      <c r="M554" s="13" t="s">
        <v>16</v>
      </c>
      <c r="N554" s="13">
        <v>1012.1</v>
      </c>
      <c r="O554" s="8">
        <v>87.423208278318512</v>
      </c>
      <c r="P554" s="8">
        <v>63.16873547331133</v>
      </c>
      <c r="Q554" s="8">
        <v>66.564776169429933</v>
      </c>
      <c r="R554" s="8">
        <v>75</v>
      </c>
      <c r="S554" s="20">
        <v>5.041666666666667</v>
      </c>
      <c r="T554" s="8" t="s">
        <v>3</v>
      </c>
      <c r="U554" s="20">
        <v>12</v>
      </c>
      <c r="V554" s="20" t="s">
        <v>3</v>
      </c>
    </row>
    <row r="555" spans="1:22" s="53" customFormat="1" x14ac:dyDescent="0.35">
      <c r="A555" s="2">
        <v>43227</v>
      </c>
      <c r="B555" s="3">
        <f t="shared" si="30"/>
        <v>2018</v>
      </c>
      <c r="C555" s="3">
        <f t="shared" si="31"/>
        <v>5</v>
      </c>
      <c r="D555" s="3">
        <f t="shared" si="32"/>
        <v>7</v>
      </c>
      <c r="E555" s="36">
        <v>27</v>
      </c>
      <c r="F555" s="36">
        <v>31.6</v>
      </c>
      <c r="G555" s="36">
        <v>29.3</v>
      </c>
      <c r="H555" s="34">
        <v>28.7</v>
      </c>
      <c r="I555" s="13">
        <v>32.200000000000003</v>
      </c>
      <c r="J555" s="13">
        <v>24.6</v>
      </c>
      <c r="K555" s="19" t="s">
        <v>9</v>
      </c>
      <c r="L555" s="74">
        <v>100</v>
      </c>
      <c r="M555" s="13" t="s">
        <v>16</v>
      </c>
      <c r="N555" s="13">
        <v>1010.9</v>
      </c>
      <c r="O555" s="8">
        <v>82.894248828323143</v>
      </c>
      <c r="P555" s="8">
        <v>66.374309895756312</v>
      </c>
      <c r="Q555" s="8">
        <v>80.883286343233124</v>
      </c>
      <c r="R555" s="8">
        <v>78</v>
      </c>
      <c r="S555" s="20">
        <v>4.208333333333333</v>
      </c>
      <c r="T555" s="8" t="s">
        <v>7</v>
      </c>
      <c r="U555" s="20">
        <v>11</v>
      </c>
      <c r="V555" s="20" t="s">
        <v>3</v>
      </c>
    </row>
    <row r="556" spans="1:22" s="53" customFormat="1" x14ac:dyDescent="0.35">
      <c r="A556" s="2">
        <v>43228</v>
      </c>
      <c r="B556" s="3">
        <f t="shared" si="30"/>
        <v>2018</v>
      </c>
      <c r="C556" s="3">
        <f t="shared" si="31"/>
        <v>5</v>
      </c>
      <c r="D556" s="3">
        <f t="shared" si="32"/>
        <v>8</v>
      </c>
      <c r="E556" s="36">
        <v>26.8</v>
      </c>
      <c r="F556" s="36">
        <v>31.8</v>
      </c>
      <c r="G556" s="36">
        <v>29</v>
      </c>
      <c r="H556" s="34">
        <v>28.5</v>
      </c>
      <c r="I556" s="13">
        <v>32.200000000000003</v>
      </c>
      <c r="J556" s="13">
        <v>24.4</v>
      </c>
      <c r="K556" s="19" t="s">
        <v>9</v>
      </c>
      <c r="L556" s="74">
        <v>100</v>
      </c>
      <c r="M556" s="13" t="s">
        <v>18</v>
      </c>
      <c r="N556" s="13">
        <v>1010.5</v>
      </c>
      <c r="O556" s="8">
        <v>81.324594065900854</v>
      </c>
      <c r="P556" s="8">
        <v>66.50301628303859</v>
      </c>
      <c r="Q556" s="8">
        <v>72.492860597196724</v>
      </c>
      <c r="R556" s="8">
        <v>76</v>
      </c>
      <c r="S556" s="20">
        <v>3.75</v>
      </c>
      <c r="T556" s="8" t="s">
        <v>19</v>
      </c>
      <c r="U556" s="20">
        <v>9</v>
      </c>
      <c r="V556" s="20" t="s">
        <v>3</v>
      </c>
    </row>
    <row r="557" spans="1:22" s="53" customFormat="1" x14ac:dyDescent="0.35">
      <c r="A557" s="2">
        <v>43229</v>
      </c>
      <c r="B557" s="3">
        <f t="shared" si="30"/>
        <v>2018</v>
      </c>
      <c r="C557" s="3">
        <f t="shared" si="31"/>
        <v>5</v>
      </c>
      <c r="D557" s="3">
        <f t="shared" si="32"/>
        <v>9</v>
      </c>
      <c r="E557" s="36">
        <v>25.7</v>
      </c>
      <c r="F557" s="36">
        <v>31.7</v>
      </c>
      <c r="G557" s="36">
        <v>29.2</v>
      </c>
      <c r="H557" s="34">
        <v>28.4</v>
      </c>
      <c r="I557" s="13">
        <v>32.200000000000003</v>
      </c>
      <c r="J557" s="13">
        <v>24.8</v>
      </c>
      <c r="K557" s="19" t="s">
        <v>9</v>
      </c>
      <c r="L557" s="74">
        <v>100</v>
      </c>
      <c r="M557" s="13" t="s">
        <v>16</v>
      </c>
      <c r="N557" s="13">
        <v>1010.5</v>
      </c>
      <c r="O557" s="8">
        <v>84.709297502451719</v>
      </c>
      <c r="P557" s="8">
        <v>58.688594005122305</v>
      </c>
      <c r="Q557" s="8">
        <v>71.268343418547644</v>
      </c>
      <c r="R557" s="8">
        <v>73</v>
      </c>
      <c r="S557" s="20">
        <v>6.25</v>
      </c>
      <c r="T557" s="8" t="s">
        <v>7</v>
      </c>
      <c r="U557" s="20">
        <v>11</v>
      </c>
      <c r="V557" s="20" t="s">
        <v>7</v>
      </c>
    </row>
    <row r="558" spans="1:22" s="53" customFormat="1" x14ac:dyDescent="0.35">
      <c r="A558" s="2">
        <v>43230</v>
      </c>
      <c r="B558" s="3">
        <f t="shared" si="30"/>
        <v>2018</v>
      </c>
      <c r="C558" s="3">
        <f t="shared" si="31"/>
        <v>5</v>
      </c>
      <c r="D558" s="3">
        <f t="shared" si="32"/>
        <v>10</v>
      </c>
      <c r="E558" s="36">
        <v>26.6</v>
      </c>
      <c r="F558" s="36">
        <v>32</v>
      </c>
      <c r="G558" s="36">
        <v>29.4</v>
      </c>
      <c r="H558" s="34">
        <v>28.4</v>
      </c>
      <c r="I558" s="13">
        <v>32.200000000000003</v>
      </c>
      <c r="J558" s="13">
        <v>24</v>
      </c>
      <c r="K558" s="19" t="s">
        <v>9</v>
      </c>
      <c r="L558" s="75">
        <v>100</v>
      </c>
      <c r="M558" s="13" t="s">
        <v>16</v>
      </c>
      <c r="N558" s="13">
        <v>1011.1</v>
      </c>
      <c r="O558" s="8">
        <v>82.742865676712952</v>
      </c>
      <c r="P558" s="8">
        <v>61.845578478951133</v>
      </c>
      <c r="Q558" s="8">
        <v>70.063602699831179</v>
      </c>
      <c r="R558" s="8">
        <v>75</v>
      </c>
      <c r="S558" s="37">
        <v>4.208333333333333</v>
      </c>
      <c r="T558" s="91" t="s">
        <v>3</v>
      </c>
      <c r="U558" s="20">
        <v>8</v>
      </c>
      <c r="V558" s="20" t="s">
        <v>3</v>
      </c>
    </row>
    <row r="559" spans="1:22" s="53" customFormat="1" x14ac:dyDescent="0.35">
      <c r="A559" s="2">
        <v>43231</v>
      </c>
      <c r="B559" s="3">
        <f t="shared" si="30"/>
        <v>2018</v>
      </c>
      <c r="C559" s="3">
        <f t="shared" si="31"/>
        <v>5</v>
      </c>
      <c r="D559" s="3">
        <f t="shared" si="32"/>
        <v>11</v>
      </c>
      <c r="E559" s="36">
        <v>26</v>
      </c>
      <c r="F559" s="36">
        <v>31.6</v>
      </c>
      <c r="G559" s="36">
        <v>28.9</v>
      </c>
      <c r="H559" s="34">
        <v>28.4</v>
      </c>
      <c r="I559" s="13">
        <v>32</v>
      </c>
      <c r="J559" s="13">
        <v>24.8</v>
      </c>
      <c r="K559" s="19" t="s">
        <v>9</v>
      </c>
      <c r="L559" s="74">
        <v>100</v>
      </c>
      <c r="M559" s="13" t="s">
        <v>16</v>
      </c>
      <c r="N559" s="13">
        <v>1009.7</v>
      </c>
      <c r="O559" s="8">
        <v>80.987934542814884</v>
      </c>
      <c r="P559" s="8">
        <v>61.55160455249905</v>
      </c>
      <c r="Q559" s="8">
        <v>78.618672365263677</v>
      </c>
      <c r="R559" s="8">
        <v>75</v>
      </c>
      <c r="S559" s="20">
        <v>3.75</v>
      </c>
      <c r="T559" s="8" t="s">
        <v>3</v>
      </c>
      <c r="U559" s="20">
        <v>8</v>
      </c>
      <c r="V559" s="20" t="s">
        <v>7</v>
      </c>
    </row>
    <row r="560" spans="1:22" s="53" customFormat="1" x14ac:dyDescent="0.35">
      <c r="A560" s="2">
        <v>43232</v>
      </c>
      <c r="B560" s="3">
        <f t="shared" si="30"/>
        <v>2018</v>
      </c>
      <c r="C560" s="3">
        <f t="shared" si="31"/>
        <v>5</v>
      </c>
      <c r="D560" s="3">
        <f t="shared" si="32"/>
        <v>12</v>
      </c>
      <c r="E560" s="36">
        <v>26</v>
      </c>
      <c r="F560" s="36">
        <v>31.6</v>
      </c>
      <c r="G560" s="36">
        <v>29.8</v>
      </c>
      <c r="H560" s="34">
        <v>28.4</v>
      </c>
      <c r="I560" s="13">
        <v>32.299999999999997</v>
      </c>
      <c r="J560" s="13">
        <v>24.3</v>
      </c>
      <c r="K560" s="19" t="s">
        <v>9</v>
      </c>
      <c r="L560" s="75">
        <v>95</v>
      </c>
      <c r="M560" s="13" t="s">
        <v>16</v>
      </c>
      <c r="N560" s="13">
        <v>1009.8</v>
      </c>
      <c r="O560" s="8">
        <v>76.488327844307364</v>
      </c>
      <c r="P560" s="8">
        <v>59.192953024821712</v>
      </c>
      <c r="Q560" s="8">
        <v>66.428989569440731</v>
      </c>
      <c r="R560" s="8">
        <v>71</v>
      </c>
      <c r="S560" s="20">
        <v>2.875</v>
      </c>
      <c r="T560" s="8" t="s">
        <v>19</v>
      </c>
      <c r="U560" s="20">
        <v>8</v>
      </c>
      <c r="V560" s="20" t="s">
        <v>7</v>
      </c>
    </row>
    <row r="561" spans="1:22" s="53" customFormat="1" x14ac:dyDescent="0.35">
      <c r="A561" s="2">
        <v>43233</v>
      </c>
      <c r="B561" s="3">
        <f t="shared" si="30"/>
        <v>2018</v>
      </c>
      <c r="C561" s="3">
        <f t="shared" si="31"/>
        <v>5</v>
      </c>
      <c r="D561" s="3">
        <f t="shared" si="32"/>
        <v>13</v>
      </c>
      <c r="E561" s="36">
        <v>26.4</v>
      </c>
      <c r="F561" s="36">
        <v>32.200000000000003</v>
      </c>
      <c r="G561" s="36">
        <v>29.2</v>
      </c>
      <c r="H561" s="34">
        <v>28.5</v>
      </c>
      <c r="I561" s="13">
        <v>32.799999999999997</v>
      </c>
      <c r="J561" s="13">
        <v>25</v>
      </c>
      <c r="K561" s="19" t="s">
        <v>9</v>
      </c>
      <c r="L561" s="74">
        <v>100</v>
      </c>
      <c r="M561" s="13" t="s">
        <v>16</v>
      </c>
      <c r="N561" s="13">
        <v>1009.6</v>
      </c>
      <c r="O561" s="8">
        <v>75.234647701411234</v>
      </c>
      <c r="P561" s="8">
        <v>57.362749693994871</v>
      </c>
      <c r="Q561" s="8">
        <v>76.679780168469648</v>
      </c>
      <c r="R561" s="8">
        <v>72</v>
      </c>
      <c r="S561" s="20">
        <v>3.8333333333333335</v>
      </c>
      <c r="T561" s="8" t="s">
        <v>3</v>
      </c>
      <c r="U561" s="20">
        <v>7</v>
      </c>
      <c r="V561" s="20" t="s">
        <v>3</v>
      </c>
    </row>
    <row r="562" spans="1:22" s="53" customFormat="1" x14ac:dyDescent="0.35">
      <c r="A562" s="2">
        <v>43234</v>
      </c>
      <c r="B562" s="3">
        <f t="shared" si="30"/>
        <v>2018</v>
      </c>
      <c r="C562" s="3">
        <f t="shared" si="31"/>
        <v>5</v>
      </c>
      <c r="D562" s="3">
        <f t="shared" si="32"/>
        <v>14</v>
      </c>
      <c r="E562" s="36">
        <v>26</v>
      </c>
      <c r="F562" s="36">
        <v>31.8</v>
      </c>
      <c r="G562" s="36">
        <v>29.3</v>
      </c>
      <c r="H562" s="34">
        <v>29.3</v>
      </c>
      <c r="I562" s="13">
        <v>32.6</v>
      </c>
      <c r="J562" s="13">
        <v>26</v>
      </c>
      <c r="K562" s="19" t="s">
        <v>9</v>
      </c>
      <c r="L562" s="74">
        <v>100</v>
      </c>
      <c r="M562" s="13" t="s">
        <v>16</v>
      </c>
      <c r="N562" s="13">
        <v>1008.9</v>
      </c>
      <c r="O562" s="8">
        <v>79.477230089141216</v>
      </c>
      <c r="P562" s="8">
        <v>60.520376174788602</v>
      </c>
      <c r="Q562" s="8">
        <v>78.10259730625512</v>
      </c>
      <c r="R562" s="8">
        <v>74</v>
      </c>
      <c r="S562" s="20">
        <v>6.041666666666667</v>
      </c>
      <c r="T562" s="8" t="s">
        <v>3</v>
      </c>
      <c r="U562" s="20">
        <v>10</v>
      </c>
      <c r="V562" s="20" t="s">
        <v>7</v>
      </c>
    </row>
    <row r="563" spans="1:22" s="53" customFormat="1" x14ac:dyDescent="0.35">
      <c r="A563" s="2">
        <v>43235</v>
      </c>
      <c r="B563" s="3">
        <f t="shared" si="30"/>
        <v>2018</v>
      </c>
      <c r="C563" s="3">
        <f t="shared" si="31"/>
        <v>5</v>
      </c>
      <c r="D563" s="3">
        <f t="shared" si="32"/>
        <v>15</v>
      </c>
      <c r="E563" s="36">
        <v>27.8</v>
      </c>
      <c r="F563" s="36">
        <v>32</v>
      </c>
      <c r="G563" s="36">
        <v>28.7</v>
      </c>
      <c r="H563" s="34">
        <v>28.2</v>
      </c>
      <c r="I563" s="13">
        <v>32.6</v>
      </c>
      <c r="J563" s="13">
        <v>25.5</v>
      </c>
      <c r="K563" s="90" t="s">
        <v>9</v>
      </c>
      <c r="L563" s="74">
        <v>68.75</v>
      </c>
      <c r="M563" s="13" t="s">
        <v>17</v>
      </c>
      <c r="N563" s="13">
        <v>1008.1</v>
      </c>
      <c r="O563" s="8">
        <v>80.274456380418869</v>
      </c>
      <c r="P563" s="8">
        <v>66.630439106317368</v>
      </c>
      <c r="Q563" s="8">
        <v>79.232336186691441</v>
      </c>
      <c r="R563" s="8">
        <v>80</v>
      </c>
      <c r="S563" s="20">
        <v>3.9166666666666665</v>
      </c>
      <c r="T563" s="8" t="s">
        <v>19</v>
      </c>
      <c r="U563" s="20">
        <v>13</v>
      </c>
      <c r="V563" s="20" t="s">
        <v>3</v>
      </c>
    </row>
    <row r="564" spans="1:22" s="53" customFormat="1" x14ac:dyDescent="0.35">
      <c r="A564" s="2">
        <v>43236</v>
      </c>
      <c r="B564" s="3">
        <f t="shared" si="30"/>
        <v>2018</v>
      </c>
      <c r="C564" s="3">
        <f t="shared" si="31"/>
        <v>5</v>
      </c>
      <c r="D564" s="3">
        <f t="shared" si="32"/>
        <v>16</v>
      </c>
      <c r="E564" s="36">
        <v>27.2</v>
      </c>
      <c r="F564" s="36">
        <v>30.6</v>
      </c>
      <c r="G564" s="36">
        <v>28.2</v>
      </c>
      <c r="H564" s="34">
        <v>28.2</v>
      </c>
      <c r="I564" s="13">
        <v>32</v>
      </c>
      <c r="J564" s="13">
        <v>22.8</v>
      </c>
      <c r="K564" s="19">
        <v>6.9</v>
      </c>
      <c r="L564" s="74">
        <v>56.25</v>
      </c>
      <c r="M564" s="13" t="s">
        <v>17</v>
      </c>
      <c r="N564" s="13">
        <v>1008.2</v>
      </c>
      <c r="O564" s="8">
        <v>81.487578849068441</v>
      </c>
      <c r="P564" s="8">
        <v>65.710896599700163</v>
      </c>
      <c r="Q564" s="8">
        <v>84.789659367472794</v>
      </c>
      <c r="R564" s="8">
        <v>81</v>
      </c>
      <c r="S564" s="20">
        <v>3.5416666666666665</v>
      </c>
      <c r="T564" s="8" t="s">
        <v>19</v>
      </c>
      <c r="U564" s="20">
        <v>11</v>
      </c>
      <c r="V564" s="20" t="s">
        <v>3</v>
      </c>
    </row>
    <row r="565" spans="1:22" s="53" customFormat="1" x14ac:dyDescent="0.35">
      <c r="A565" s="2">
        <v>43237</v>
      </c>
      <c r="B565" s="3">
        <f t="shared" si="30"/>
        <v>2018</v>
      </c>
      <c r="C565" s="3">
        <f t="shared" si="31"/>
        <v>5</v>
      </c>
      <c r="D565" s="3">
        <f t="shared" si="32"/>
        <v>17</v>
      </c>
      <c r="E565" s="36">
        <v>27.8</v>
      </c>
      <c r="F565" s="36">
        <v>30.8</v>
      </c>
      <c r="G565" s="36">
        <v>28</v>
      </c>
      <c r="H565" s="34">
        <v>27.9</v>
      </c>
      <c r="I565" s="13">
        <v>32</v>
      </c>
      <c r="J565" s="13">
        <v>24.8</v>
      </c>
      <c r="K565" s="19">
        <v>2.7</v>
      </c>
      <c r="L565" s="74">
        <v>45</v>
      </c>
      <c r="M565" s="13" t="s">
        <v>18</v>
      </c>
      <c r="N565" s="13">
        <v>1006.7</v>
      </c>
      <c r="O565" s="8">
        <v>84.660169927124755</v>
      </c>
      <c r="P565" s="8">
        <v>70.893374555716719</v>
      </c>
      <c r="Q565" s="8">
        <v>74.683288699912481</v>
      </c>
      <c r="R565" s="8">
        <v>78</v>
      </c>
      <c r="S565" s="20">
        <v>2.75</v>
      </c>
      <c r="T565" s="8" t="s">
        <v>7</v>
      </c>
      <c r="U565" s="20">
        <v>7</v>
      </c>
      <c r="V565" s="20" t="s">
        <v>3</v>
      </c>
    </row>
    <row r="566" spans="1:22" s="53" customFormat="1" x14ac:dyDescent="0.35">
      <c r="A566" s="2">
        <v>43238</v>
      </c>
      <c r="B566" s="3">
        <f t="shared" si="30"/>
        <v>2018</v>
      </c>
      <c r="C566" s="3">
        <f t="shared" si="31"/>
        <v>5</v>
      </c>
      <c r="D566" s="3">
        <f t="shared" si="32"/>
        <v>18</v>
      </c>
      <c r="E566" s="36">
        <v>26.2</v>
      </c>
      <c r="F566" s="36">
        <v>31</v>
      </c>
      <c r="G566" s="36">
        <v>29.4</v>
      </c>
      <c r="H566" s="34">
        <v>27.9</v>
      </c>
      <c r="I566" s="13">
        <v>31.8</v>
      </c>
      <c r="J566" s="13">
        <v>24.4</v>
      </c>
      <c r="K566" s="19" t="s">
        <v>9</v>
      </c>
      <c r="L566" s="74">
        <v>87.5</v>
      </c>
      <c r="M566" s="13" t="s">
        <v>16</v>
      </c>
      <c r="N566" s="13">
        <v>1007.2</v>
      </c>
      <c r="O566" s="8">
        <v>81.073467546751985</v>
      </c>
      <c r="P566" s="8">
        <v>62.306163689807228</v>
      </c>
      <c r="Q566" s="8">
        <v>72.718666055923123</v>
      </c>
      <c r="R566" s="8">
        <v>76</v>
      </c>
      <c r="S566" s="20">
        <v>3.5833333333333335</v>
      </c>
      <c r="T566" s="8" t="s">
        <v>6</v>
      </c>
      <c r="U566" s="20">
        <v>9</v>
      </c>
      <c r="V566" s="20" t="s">
        <v>8</v>
      </c>
    </row>
    <row r="567" spans="1:22" s="53" customFormat="1" x14ac:dyDescent="0.35">
      <c r="A567" s="2">
        <v>43239</v>
      </c>
      <c r="B567" s="3">
        <f t="shared" si="30"/>
        <v>2018</v>
      </c>
      <c r="C567" s="3">
        <f t="shared" si="31"/>
        <v>5</v>
      </c>
      <c r="D567" s="3">
        <f t="shared" si="32"/>
        <v>19</v>
      </c>
      <c r="E567" s="36">
        <v>25.7</v>
      </c>
      <c r="F567" s="36">
        <v>31.6</v>
      </c>
      <c r="G567" s="36">
        <v>29</v>
      </c>
      <c r="H567" s="34">
        <v>28.1</v>
      </c>
      <c r="I567" s="13">
        <v>32.4</v>
      </c>
      <c r="J567" s="13">
        <v>25</v>
      </c>
      <c r="K567" s="19" t="s">
        <v>9</v>
      </c>
      <c r="L567" s="74">
        <v>95</v>
      </c>
      <c r="M567" s="13" t="s">
        <v>16</v>
      </c>
      <c r="N567" s="13">
        <v>1007.1</v>
      </c>
      <c r="O567" s="8">
        <v>79.336671798924471</v>
      </c>
      <c r="P567" s="8">
        <v>56.868629131746154</v>
      </c>
      <c r="Q567" s="8">
        <v>69.151991870497071</v>
      </c>
      <c r="R567" s="8">
        <v>74</v>
      </c>
      <c r="S567" s="20">
        <v>3.875</v>
      </c>
      <c r="T567" s="8" t="s">
        <v>19</v>
      </c>
      <c r="U567" s="20">
        <v>9</v>
      </c>
      <c r="V567" s="20" t="s">
        <v>3</v>
      </c>
    </row>
    <row r="568" spans="1:22" s="53" customFormat="1" x14ac:dyDescent="0.35">
      <c r="A568" s="2">
        <v>43240</v>
      </c>
      <c r="B568" s="3">
        <f t="shared" si="30"/>
        <v>2018</v>
      </c>
      <c r="C568" s="3">
        <f t="shared" si="31"/>
        <v>5</v>
      </c>
      <c r="D568" s="3">
        <f t="shared" si="32"/>
        <v>20</v>
      </c>
      <c r="E568" s="36">
        <v>26.4</v>
      </c>
      <c r="F568" s="36">
        <v>30.2</v>
      </c>
      <c r="G568" s="36">
        <v>29.1</v>
      </c>
      <c r="H568" s="34">
        <v>28.5</v>
      </c>
      <c r="I568" s="13">
        <v>31.6</v>
      </c>
      <c r="J568" s="13">
        <v>25.2</v>
      </c>
      <c r="K568" s="19" t="s">
        <v>9</v>
      </c>
      <c r="L568" s="74">
        <v>26.25</v>
      </c>
      <c r="M568" s="13" t="s">
        <v>11</v>
      </c>
      <c r="N568" s="13">
        <v>1007.4</v>
      </c>
      <c r="O568" s="8">
        <v>81.158079831414014</v>
      </c>
      <c r="P568" s="8">
        <v>66.699166870239253</v>
      </c>
      <c r="Q568" s="8">
        <v>70.542172192683722</v>
      </c>
      <c r="R568" s="8">
        <v>75</v>
      </c>
      <c r="S568" s="20">
        <v>3.4166666666666665</v>
      </c>
      <c r="T568" s="8" t="s">
        <v>3</v>
      </c>
      <c r="U568" s="20">
        <v>8</v>
      </c>
      <c r="V568" s="20" t="s">
        <v>7</v>
      </c>
    </row>
    <row r="569" spans="1:22" s="53" customFormat="1" x14ac:dyDescent="0.35">
      <c r="A569" s="2">
        <v>43241</v>
      </c>
      <c r="B569" s="3">
        <f t="shared" si="30"/>
        <v>2018</v>
      </c>
      <c r="C569" s="3">
        <f t="shared" si="31"/>
        <v>5</v>
      </c>
      <c r="D569" s="3">
        <f t="shared" si="32"/>
        <v>21</v>
      </c>
      <c r="E569" s="36">
        <v>27.4</v>
      </c>
      <c r="F569" s="36">
        <v>30.6</v>
      </c>
      <c r="G569" s="36">
        <v>28.1</v>
      </c>
      <c r="H569" s="34">
        <v>28.3</v>
      </c>
      <c r="I569" s="13">
        <v>32</v>
      </c>
      <c r="J569" s="13">
        <v>26.1</v>
      </c>
      <c r="K569" s="19">
        <v>0</v>
      </c>
      <c r="L569" s="74">
        <v>93.75</v>
      </c>
      <c r="M569" s="13" t="s">
        <v>16</v>
      </c>
      <c r="N569" s="13">
        <v>1007.9</v>
      </c>
      <c r="O569" s="8">
        <v>80.103857872245882</v>
      </c>
      <c r="P569" s="8">
        <v>68.226021224053511</v>
      </c>
      <c r="Q569" s="8">
        <v>77.547923062771758</v>
      </c>
      <c r="R569" s="8">
        <v>77</v>
      </c>
      <c r="S569" s="20">
        <v>5.208333333333333</v>
      </c>
      <c r="T569" s="8" t="s">
        <v>3</v>
      </c>
      <c r="U569" s="20">
        <v>16</v>
      </c>
      <c r="V569" s="20" t="s">
        <v>3</v>
      </c>
    </row>
    <row r="570" spans="1:22" s="53" customFormat="1" x14ac:dyDescent="0.35">
      <c r="A570" s="2">
        <v>43242</v>
      </c>
      <c r="B570" s="3">
        <f t="shared" ref="B570:B633" si="33">YEAR(A570)</f>
        <v>2018</v>
      </c>
      <c r="C570" s="3">
        <f t="shared" ref="C570:C633" si="34">MONTH(A570)</f>
        <v>5</v>
      </c>
      <c r="D570" s="3">
        <f t="shared" ref="D570:D633" si="35">DAY(A570)</f>
        <v>22</v>
      </c>
      <c r="E570" s="36">
        <v>26.8</v>
      </c>
      <c r="F570" s="36">
        <v>31.6</v>
      </c>
      <c r="G570" s="36">
        <v>29.2</v>
      </c>
      <c r="H570" s="34">
        <v>28.4</v>
      </c>
      <c r="I570" s="13">
        <v>32.200000000000003</v>
      </c>
      <c r="J570" s="13">
        <v>26</v>
      </c>
      <c r="K570" s="19" t="s">
        <v>9</v>
      </c>
      <c r="L570" s="74">
        <v>66.25</v>
      </c>
      <c r="M570" s="13" t="s">
        <v>16</v>
      </c>
      <c r="N570" s="13">
        <v>1008</v>
      </c>
      <c r="O570" s="8">
        <v>85.840587858319296</v>
      </c>
      <c r="P570" s="8">
        <v>68.839594361507039</v>
      </c>
      <c r="Q570" s="8">
        <v>78.057682848765737</v>
      </c>
      <c r="R570" s="8">
        <v>80</v>
      </c>
      <c r="S570" s="20">
        <v>5.25</v>
      </c>
      <c r="T570" s="8" t="s">
        <v>8</v>
      </c>
      <c r="U570" s="37">
        <v>14</v>
      </c>
      <c r="V570" s="37" t="s">
        <v>3</v>
      </c>
    </row>
    <row r="571" spans="1:22" s="53" customFormat="1" x14ac:dyDescent="0.35">
      <c r="A571" s="2">
        <v>43243</v>
      </c>
      <c r="B571" s="3">
        <f t="shared" si="33"/>
        <v>2018</v>
      </c>
      <c r="C571" s="3">
        <f t="shared" si="34"/>
        <v>5</v>
      </c>
      <c r="D571" s="3">
        <f t="shared" si="35"/>
        <v>23</v>
      </c>
      <c r="E571" s="36">
        <v>27.5</v>
      </c>
      <c r="F571" s="36">
        <v>31.8</v>
      </c>
      <c r="G571" s="36">
        <v>29.2</v>
      </c>
      <c r="H571" s="34">
        <v>28.8</v>
      </c>
      <c r="I571" s="13">
        <v>32.4</v>
      </c>
      <c r="J571" s="13">
        <v>25.4</v>
      </c>
      <c r="K571" s="19" t="s">
        <v>9</v>
      </c>
      <c r="L571" s="74">
        <v>97.5</v>
      </c>
      <c r="M571" s="13" t="s">
        <v>13</v>
      </c>
      <c r="N571" s="13">
        <v>1007.5</v>
      </c>
      <c r="O571" s="8">
        <v>80.875868976253244</v>
      </c>
      <c r="P571" s="8">
        <v>65.288764778557507</v>
      </c>
      <c r="Q571" s="8">
        <v>78.057682848765737</v>
      </c>
      <c r="R571" s="8">
        <v>79</v>
      </c>
      <c r="S571" s="20">
        <v>5.125</v>
      </c>
      <c r="T571" s="8" t="s">
        <v>3</v>
      </c>
      <c r="U571" s="20">
        <v>14</v>
      </c>
      <c r="V571" s="20" t="s">
        <v>3</v>
      </c>
    </row>
    <row r="572" spans="1:22" s="53" customFormat="1" x14ac:dyDescent="0.35">
      <c r="A572" s="2">
        <v>43244</v>
      </c>
      <c r="B572" s="3">
        <f t="shared" si="33"/>
        <v>2018</v>
      </c>
      <c r="C572" s="3">
        <f t="shared" si="34"/>
        <v>5</v>
      </c>
      <c r="D572" s="3">
        <f t="shared" si="35"/>
        <v>24</v>
      </c>
      <c r="E572" s="36">
        <v>26.8</v>
      </c>
      <c r="F572" s="36">
        <v>31.7</v>
      </c>
      <c r="G572" s="36">
        <v>29.4</v>
      </c>
      <c r="H572" s="34">
        <v>28.5</v>
      </c>
      <c r="I572" s="13">
        <v>32.6</v>
      </c>
      <c r="J572" s="13">
        <v>25</v>
      </c>
      <c r="K572" s="19" t="s">
        <v>9</v>
      </c>
      <c r="L572" s="74">
        <v>78.75</v>
      </c>
      <c r="M572" s="13" t="s">
        <v>11</v>
      </c>
      <c r="N572" s="13">
        <v>1007.7</v>
      </c>
      <c r="O572" s="8">
        <v>82.070417619923234</v>
      </c>
      <c r="P572" s="8">
        <v>59.856953312719121</v>
      </c>
      <c r="Q572" s="8">
        <v>78.837176711816809</v>
      </c>
      <c r="R572" s="8">
        <v>78</v>
      </c>
      <c r="S572" s="20">
        <v>4.458333333333333</v>
      </c>
      <c r="T572" s="8" t="s">
        <v>19</v>
      </c>
      <c r="U572" s="20">
        <v>11</v>
      </c>
      <c r="V572" s="20" t="s">
        <v>3</v>
      </c>
    </row>
    <row r="573" spans="1:22" s="53" customFormat="1" x14ac:dyDescent="0.35">
      <c r="A573" s="2">
        <v>43245</v>
      </c>
      <c r="B573" s="3">
        <f t="shared" si="33"/>
        <v>2018</v>
      </c>
      <c r="C573" s="3">
        <f t="shared" si="34"/>
        <v>5</v>
      </c>
      <c r="D573" s="3">
        <f t="shared" si="35"/>
        <v>25</v>
      </c>
      <c r="E573" s="36">
        <v>26</v>
      </c>
      <c r="F573" s="36">
        <v>31.6</v>
      </c>
      <c r="G573" s="36">
        <v>29.4</v>
      </c>
      <c r="H573" s="34">
        <v>28.5</v>
      </c>
      <c r="I573" s="13">
        <v>32.200000000000003</v>
      </c>
      <c r="J573" s="13">
        <v>25.6</v>
      </c>
      <c r="K573" s="19">
        <v>2</v>
      </c>
      <c r="L573" s="74">
        <v>96.25</v>
      </c>
      <c r="M573" s="13" t="s">
        <v>16</v>
      </c>
      <c r="N573" s="13">
        <v>1007.3</v>
      </c>
      <c r="O573" s="8">
        <v>87.14137533712541</v>
      </c>
      <c r="P573" s="8">
        <v>63.945186472940172</v>
      </c>
      <c r="Q573" s="8">
        <v>72.718666055923123</v>
      </c>
      <c r="R573" s="8">
        <v>76</v>
      </c>
      <c r="S573" s="20">
        <v>4.333333333333333</v>
      </c>
      <c r="T573" s="8" t="s">
        <v>6</v>
      </c>
      <c r="U573" s="20">
        <v>9</v>
      </c>
      <c r="V573" s="20" t="s">
        <v>3</v>
      </c>
    </row>
    <row r="574" spans="1:22" s="53" customFormat="1" x14ac:dyDescent="0.35">
      <c r="A574" s="2">
        <v>43246</v>
      </c>
      <c r="B574" s="3">
        <f t="shared" si="33"/>
        <v>2018</v>
      </c>
      <c r="C574" s="3">
        <f t="shared" si="34"/>
        <v>5</v>
      </c>
      <c r="D574" s="3">
        <f t="shared" si="35"/>
        <v>26</v>
      </c>
      <c r="E574" s="36">
        <v>27</v>
      </c>
      <c r="F574" s="36">
        <v>32</v>
      </c>
      <c r="G574" s="36">
        <v>29</v>
      </c>
      <c r="H574" s="34">
        <v>28.6</v>
      </c>
      <c r="I574" s="13">
        <v>32.200000000000003</v>
      </c>
      <c r="J574" s="13">
        <v>25.2</v>
      </c>
      <c r="K574" s="19" t="s">
        <v>9</v>
      </c>
      <c r="L574" s="74">
        <v>100</v>
      </c>
      <c r="M574" s="13" t="s">
        <v>16</v>
      </c>
      <c r="N574" s="13">
        <v>1008</v>
      </c>
      <c r="O574" s="8">
        <v>78.463382904995029</v>
      </c>
      <c r="P574" s="8">
        <v>63.623353914068879</v>
      </c>
      <c r="Q574" s="8">
        <v>77.967155135018501</v>
      </c>
      <c r="R574" s="8">
        <v>74</v>
      </c>
      <c r="S574" s="20">
        <v>5</v>
      </c>
      <c r="T574" s="8" t="s">
        <v>6</v>
      </c>
      <c r="U574" s="20">
        <v>11</v>
      </c>
      <c r="V574" s="20" t="s">
        <v>3</v>
      </c>
    </row>
    <row r="575" spans="1:22" s="53" customFormat="1" x14ac:dyDescent="0.35">
      <c r="A575" s="2">
        <v>43247</v>
      </c>
      <c r="B575" s="3">
        <f t="shared" si="33"/>
        <v>2018</v>
      </c>
      <c r="C575" s="3">
        <f t="shared" si="34"/>
        <v>5</v>
      </c>
      <c r="D575" s="3">
        <f t="shared" si="35"/>
        <v>27</v>
      </c>
      <c r="E575" s="36">
        <v>26.2</v>
      </c>
      <c r="F575" s="36">
        <v>32.799999999999997</v>
      </c>
      <c r="G575" s="36">
        <v>30</v>
      </c>
      <c r="H575" s="34">
        <v>28.5</v>
      </c>
      <c r="I575" s="13">
        <v>33.200000000000003</v>
      </c>
      <c r="J575" s="13">
        <v>25</v>
      </c>
      <c r="K575" s="19" t="s">
        <v>9</v>
      </c>
      <c r="L575" s="74">
        <v>26.25</v>
      </c>
      <c r="M575" s="13" t="s">
        <v>16</v>
      </c>
      <c r="N575" s="13">
        <v>1008.1</v>
      </c>
      <c r="O575" s="8">
        <v>73.661877482589802</v>
      </c>
      <c r="P575" s="8">
        <v>50.154633598564011</v>
      </c>
      <c r="Q575" s="8">
        <v>71.732809990983498</v>
      </c>
      <c r="R575" s="8">
        <v>67</v>
      </c>
      <c r="S575" s="20">
        <v>4.333333333333333</v>
      </c>
      <c r="T575" s="8" t="s">
        <v>6</v>
      </c>
      <c r="U575" s="20">
        <v>7</v>
      </c>
      <c r="V575" s="20" t="s">
        <v>6</v>
      </c>
    </row>
    <row r="576" spans="1:22" s="53" customFormat="1" x14ac:dyDescent="0.35">
      <c r="A576" s="2">
        <v>43248</v>
      </c>
      <c r="B576" s="3">
        <f t="shared" si="33"/>
        <v>2018</v>
      </c>
      <c r="C576" s="3">
        <f t="shared" si="34"/>
        <v>5</v>
      </c>
      <c r="D576" s="3">
        <f t="shared" si="35"/>
        <v>28</v>
      </c>
      <c r="E576" s="36">
        <v>25.2</v>
      </c>
      <c r="F576" s="36">
        <v>32</v>
      </c>
      <c r="G576" s="36">
        <v>28.2</v>
      </c>
      <c r="H576" s="34">
        <v>27.9</v>
      </c>
      <c r="I576" s="13">
        <v>32.6</v>
      </c>
      <c r="J576" s="13">
        <v>24.1</v>
      </c>
      <c r="K576" s="17" t="s">
        <v>9</v>
      </c>
      <c r="L576" s="74">
        <v>81.25</v>
      </c>
      <c r="M576" s="13" t="s">
        <v>16</v>
      </c>
      <c r="N576" s="13">
        <v>1008.4</v>
      </c>
      <c r="O576" s="8">
        <v>79.0972186919183</v>
      </c>
      <c r="P576" s="8">
        <v>54.927409546142073</v>
      </c>
      <c r="Q576" s="8">
        <v>73.403801579739962</v>
      </c>
      <c r="R576" s="8">
        <v>71</v>
      </c>
      <c r="S576" s="20">
        <v>2.6666666666666665</v>
      </c>
      <c r="T576" s="8" t="s">
        <v>19</v>
      </c>
      <c r="U576" s="20">
        <v>9</v>
      </c>
      <c r="V576" s="20" t="s">
        <v>7</v>
      </c>
    </row>
    <row r="577" spans="1:22" s="53" customFormat="1" x14ac:dyDescent="0.35">
      <c r="A577" s="2">
        <v>43249</v>
      </c>
      <c r="B577" s="3">
        <f t="shared" si="33"/>
        <v>2018</v>
      </c>
      <c r="C577" s="3">
        <f t="shared" si="34"/>
        <v>5</v>
      </c>
      <c r="D577" s="3">
        <f t="shared" si="35"/>
        <v>29</v>
      </c>
      <c r="E577" s="36">
        <v>26.4</v>
      </c>
      <c r="F577" s="36">
        <v>30.8</v>
      </c>
      <c r="G577" s="36">
        <v>29.2</v>
      </c>
      <c r="H577" s="34">
        <v>28.1</v>
      </c>
      <c r="I577" s="13">
        <v>31.8</v>
      </c>
      <c r="J577" s="13">
        <v>24.1</v>
      </c>
      <c r="K577" s="19" t="s">
        <v>9</v>
      </c>
      <c r="L577" s="74">
        <v>100</v>
      </c>
      <c r="M577" s="13" t="s">
        <v>16</v>
      </c>
      <c r="N577" s="13">
        <v>1008.3</v>
      </c>
      <c r="O577" s="8">
        <v>70.189935604472893</v>
      </c>
      <c r="P577" s="8">
        <v>65.22579188406219</v>
      </c>
      <c r="Q577" s="8">
        <v>69.940095578184994</v>
      </c>
      <c r="R577" s="8">
        <v>70</v>
      </c>
      <c r="S577" s="20">
        <v>4.541666666666667</v>
      </c>
      <c r="T577" s="8" t="s">
        <v>6</v>
      </c>
      <c r="U577" s="20">
        <v>10</v>
      </c>
      <c r="V577" s="20" t="s">
        <v>3</v>
      </c>
    </row>
    <row r="578" spans="1:22" s="53" customFormat="1" x14ac:dyDescent="0.35">
      <c r="A578" s="2">
        <v>43250</v>
      </c>
      <c r="B578" s="3">
        <f t="shared" si="33"/>
        <v>2018</v>
      </c>
      <c r="C578" s="3">
        <f t="shared" si="34"/>
        <v>5</v>
      </c>
      <c r="D578" s="3">
        <f t="shared" si="35"/>
        <v>30</v>
      </c>
      <c r="E578" s="36">
        <v>25.4</v>
      </c>
      <c r="F578" s="36">
        <v>31</v>
      </c>
      <c r="G578" s="36">
        <v>28.8</v>
      </c>
      <c r="H578" s="34">
        <v>27.7</v>
      </c>
      <c r="I578" s="13">
        <v>32</v>
      </c>
      <c r="J578" s="13">
        <v>23.5</v>
      </c>
      <c r="K578" s="19" t="s">
        <v>9</v>
      </c>
      <c r="L578" s="74">
        <v>100</v>
      </c>
      <c r="M578" s="13" t="s">
        <v>16</v>
      </c>
      <c r="N578" s="13">
        <v>1009.2</v>
      </c>
      <c r="O578" s="8">
        <v>76.162807368920355</v>
      </c>
      <c r="P578" s="8">
        <v>58.711932917033693</v>
      </c>
      <c r="Q578" s="8">
        <v>71.02877367431519</v>
      </c>
      <c r="R578" s="8">
        <v>70</v>
      </c>
      <c r="S578" s="20">
        <v>4</v>
      </c>
      <c r="T578" s="8" t="s">
        <v>6</v>
      </c>
      <c r="U578" s="20">
        <v>9</v>
      </c>
      <c r="V578" s="20" t="s">
        <v>2</v>
      </c>
    </row>
    <row r="579" spans="1:22" s="53" customFormat="1" x14ac:dyDescent="0.35">
      <c r="A579" s="2">
        <v>43251</v>
      </c>
      <c r="B579" s="3">
        <f t="shared" si="33"/>
        <v>2018</v>
      </c>
      <c r="C579" s="3">
        <f t="shared" si="34"/>
        <v>5</v>
      </c>
      <c r="D579" s="3">
        <f t="shared" si="35"/>
        <v>31</v>
      </c>
      <c r="E579" s="36">
        <v>25.2</v>
      </c>
      <c r="F579" s="36">
        <v>31.2</v>
      </c>
      <c r="G579" s="36">
        <v>28.2</v>
      </c>
      <c r="H579" s="34">
        <v>27.2</v>
      </c>
      <c r="I579" s="13">
        <v>31.6</v>
      </c>
      <c r="J579" s="13">
        <v>23.7</v>
      </c>
      <c r="K579" s="19" t="s">
        <v>9</v>
      </c>
      <c r="L579" s="74">
        <v>100</v>
      </c>
      <c r="M579" s="13"/>
      <c r="N579" s="13">
        <v>1009</v>
      </c>
      <c r="O579" s="8">
        <v>68.478044533181787</v>
      </c>
      <c r="P579" s="8">
        <v>60.789978564915714</v>
      </c>
      <c r="Q579" s="8">
        <v>66.900192873680993</v>
      </c>
      <c r="R579" s="8">
        <v>70</v>
      </c>
      <c r="S579" s="20">
        <v>3.25</v>
      </c>
      <c r="T579" s="8" t="s">
        <v>19</v>
      </c>
      <c r="U579" s="20">
        <v>9</v>
      </c>
      <c r="V579" s="20" t="s">
        <v>7</v>
      </c>
    </row>
    <row r="580" spans="1:22" s="53" customFormat="1" x14ac:dyDescent="0.35">
      <c r="A580" s="2">
        <v>43252</v>
      </c>
      <c r="B580" s="3">
        <f t="shared" si="33"/>
        <v>2018</v>
      </c>
      <c r="C580" s="3">
        <f t="shared" si="34"/>
        <v>6</v>
      </c>
      <c r="D580" s="3">
        <f t="shared" si="35"/>
        <v>1</v>
      </c>
      <c r="E580" s="13">
        <v>25</v>
      </c>
      <c r="F580" s="13">
        <v>30.6</v>
      </c>
      <c r="G580" s="13">
        <v>28.6</v>
      </c>
      <c r="H580" s="34">
        <v>27.3</v>
      </c>
      <c r="I580" s="13">
        <v>31</v>
      </c>
      <c r="J580" s="13">
        <v>24.8</v>
      </c>
      <c r="K580" s="19" t="s">
        <v>9</v>
      </c>
      <c r="L580" s="20">
        <v>97.5</v>
      </c>
      <c r="M580" s="13" t="s">
        <v>16</v>
      </c>
      <c r="N580" s="13">
        <v>1009.1</v>
      </c>
      <c r="O580" s="8">
        <v>74.663519274574512</v>
      </c>
      <c r="P580" s="8">
        <v>58.548277761608205</v>
      </c>
      <c r="Q580" s="8">
        <v>68.09153082700125</v>
      </c>
      <c r="R580" s="8">
        <v>75</v>
      </c>
      <c r="S580" s="46">
        <v>3.5833333333333335</v>
      </c>
      <c r="T580" s="46" t="s">
        <v>19</v>
      </c>
      <c r="U580" s="46">
        <v>13</v>
      </c>
      <c r="V580" s="46" t="s">
        <v>7</v>
      </c>
    </row>
    <row r="581" spans="1:22" s="53" customFormat="1" x14ac:dyDescent="0.35">
      <c r="A581" s="2">
        <v>43253</v>
      </c>
      <c r="B581" s="3">
        <f t="shared" si="33"/>
        <v>2018</v>
      </c>
      <c r="C581" s="3">
        <f t="shared" si="34"/>
        <v>6</v>
      </c>
      <c r="D581" s="3">
        <f t="shared" si="35"/>
        <v>2</v>
      </c>
      <c r="E581" s="13">
        <v>25.4</v>
      </c>
      <c r="F581" s="13">
        <v>30.8</v>
      </c>
      <c r="G581" s="13">
        <v>28.4</v>
      </c>
      <c r="H581" s="34">
        <v>27.2</v>
      </c>
      <c r="I581" s="13">
        <v>31</v>
      </c>
      <c r="J581" s="13">
        <v>24.6</v>
      </c>
      <c r="K581" s="19" t="s">
        <v>9</v>
      </c>
      <c r="L581" s="20">
        <v>100</v>
      </c>
      <c r="M581" s="13" t="s">
        <v>16</v>
      </c>
      <c r="N581" s="13">
        <v>1009.2</v>
      </c>
      <c r="O581" s="8">
        <v>81.622607519973627</v>
      </c>
      <c r="P581" s="8">
        <v>61.320168699060616</v>
      </c>
      <c r="Q581" s="8">
        <v>74.8972604533881</v>
      </c>
      <c r="R581" s="8">
        <v>74</v>
      </c>
      <c r="S581" s="46">
        <v>5.333333333333333</v>
      </c>
      <c r="T581" s="46" t="s">
        <v>3</v>
      </c>
      <c r="U581" s="46">
        <v>11</v>
      </c>
      <c r="V581" s="46" t="s">
        <v>7</v>
      </c>
    </row>
    <row r="582" spans="1:22" s="53" customFormat="1" x14ac:dyDescent="0.35">
      <c r="A582" s="2">
        <v>43254</v>
      </c>
      <c r="B582" s="3">
        <f t="shared" si="33"/>
        <v>2018</v>
      </c>
      <c r="C582" s="3">
        <f t="shared" si="34"/>
        <v>6</v>
      </c>
      <c r="D582" s="3">
        <f t="shared" si="35"/>
        <v>3</v>
      </c>
      <c r="E582" s="13">
        <v>25.7</v>
      </c>
      <c r="F582" s="13">
        <v>30.5</v>
      </c>
      <c r="G582" s="13">
        <v>28.4</v>
      </c>
      <c r="H582" s="34">
        <v>28.1</v>
      </c>
      <c r="I582" s="13">
        <v>31.2</v>
      </c>
      <c r="J582" s="13">
        <v>24.8</v>
      </c>
      <c r="K582" s="19" t="s">
        <v>9</v>
      </c>
      <c r="L582" s="20">
        <v>100</v>
      </c>
      <c r="M582" s="13" t="s">
        <v>16</v>
      </c>
      <c r="N582" s="13">
        <v>1008.7</v>
      </c>
      <c r="O582" s="8">
        <v>81.241784404159844</v>
      </c>
      <c r="P582" s="8">
        <v>65.913471983789975</v>
      </c>
      <c r="Q582" s="8">
        <v>73.627425546942845</v>
      </c>
      <c r="R582" s="8">
        <v>76</v>
      </c>
      <c r="S582" s="46">
        <v>4.875</v>
      </c>
      <c r="T582" s="46" t="s">
        <v>3</v>
      </c>
      <c r="U582" s="46">
        <v>12</v>
      </c>
      <c r="V582" s="46" t="s">
        <v>7</v>
      </c>
    </row>
    <row r="583" spans="1:22" s="53" customFormat="1" x14ac:dyDescent="0.35">
      <c r="A583" s="2">
        <v>43255</v>
      </c>
      <c r="B583" s="3">
        <f t="shared" si="33"/>
        <v>2018</v>
      </c>
      <c r="C583" s="3">
        <f t="shared" si="34"/>
        <v>6</v>
      </c>
      <c r="D583" s="3">
        <f t="shared" si="35"/>
        <v>4</v>
      </c>
      <c r="E583" s="13">
        <v>26.6</v>
      </c>
      <c r="F583" s="13">
        <v>30.9</v>
      </c>
      <c r="G583" s="13">
        <v>28.6</v>
      </c>
      <c r="H583" s="34">
        <v>28.2</v>
      </c>
      <c r="I583" s="13">
        <v>31.8</v>
      </c>
      <c r="J583" s="13">
        <v>25.1</v>
      </c>
      <c r="K583" s="19" t="s">
        <v>9</v>
      </c>
      <c r="L583" s="20">
        <v>93.75</v>
      </c>
      <c r="M583" s="13" t="s">
        <v>16</v>
      </c>
      <c r="N583" s="13">
        <v>1010.5</v>
      </c>
      <c r="O583" s="8">
        <v>84.254910681262245</v>
      </c>
      <c r="P583" s="8">
        <v>61.55160455249905</v>
      </c>
      <c r="Q583" s="8">
        <v>73.516201765591887</v>
      </c>
      <c r="R583" s="8">
        <v>77</v>
      </c>
      <c r="S583" s="46">
        <v>4.791666666666667</v>
      </c>
      <c r="T583" s="46" t="s">
        <v>3</v>
      </c>
      <c r="U583" s="46">
        <v>13</v>
      </c>
      <c r="V583" s="46" t="s">
        <v>3</v>
      </c>
    </row>
    <row r="584" spans="1:22" s="53" customFormat="1" x14ac:dyDescent="0.35">
      <c r="A584" s="2">
        <v>43256</v>
      </c>
      <c r="B584" s="3">
        <f t="shared" si="33"/>
        <v>2018</v>
      </c>
      <c r="C584" s="3">
        <f t="shared" si="34"/>
        <v>6</v>
      </c>
      <c r="D584" s="3">
        <f t="shared" si="35"/>
        <v>5</v>
      </c>
      <c r="E584" s="13">
        <v>26.6</v>
      </c>
      <c r="F584" s="13">
        <v>31.6</v>
      </c>
      <c r="G584" s="13">
        <v>28.4</v>
      </c>
      <c r="H584" s="34">
        <v>28.2</v>
      </c>
      <c r="I584" s="13">
        <v>32.1</v>
      </c>
      <c r="J584" s="13">
        <v>24.8</v>
      </c>
      <c r="K584" s="19" t="s">
        <v>9</v>
      </c>
      <c r="L584" s="20">
        <v>100</v>
      </c>
      <c r="M584" s="13" t="s">
        <v>16</v>
      </c>
      <c r="N584" s="13">
        <v>1010.5</v>
      </c>
      <c r="O584" s="8">
        <v>90.197634108095627</v>
      </c>
      <c r="P584" s="8">
        <v>67.223150346921003</v>
      </c>
      <c r="Q584" s="8">
        <v>68.491104410455307</v>
      </c>
      <c r="R584" s="8">
        <v>75</v>
      </c>
      <c r="S584" s="46">
        <v>3.625</v>
      </c>
      <c r="T584" s="46" t="s">
        <v>6</v>
      </c>
      <c r="U584" s="46">
        <v>11</v>
      </c>
      <c r="V584" s="46" t="s">
        <v>7</v>
      </c>
    </row>
    <row r="585" spans="1:22" s="53" customFormat="1" x14ac:dyDescent="0.35">
      <c r="A585" s="2">
        <v>43257</v>
      </c>
      <c r="B585" s="3">
        <f t="shared" si="33"/>
        <v>2018</v>
      </c>
      <c r="C585" s="3">
        <f t="shared" si="34"/>
        <v>6</v>
      </c>
      <c r="D585" s="3">
        <f t="shared" si="35"/>
        <v>6</v>
      </c>
      <c r="E585" s="13">
        <v>25.6</v>
      </c>
      <c r="F585" s="13">
        <v>31</v>
      </c>
      <c r="G585" s="13">
        <v>29</v>
      </c>
      <c r="H585" s="34">
        <v>28</v>
      </c>
      <c r="I585" s="13">
        <v>31.8</v>
      </c>
      <c r="J585" s="13">
        <v>24.6</v>
      </c>
      <c r="K585" s="19" t="s">
        <v>9</v>
      </c>
      <c r="L585" s="20">
        <v>88.75</v>
      </c>
      <c r="M585" s="13" t="s">
        <v>16</v>
      </c>
      <c r="N585" s="13">
        <v>1010.3</v>
      </c>
      <c r="O585" s="8">
        <v>82.509603433418292</v>
      </c>
      <c r="P585" s="8">
        <v>65.980311350113553</v>
      </c>
      <c r="Q585" s="8">
        <v>75.311981910915833</v>
      </c>
      <c r="R585" s="8">
        <v>77</v>
      </c>
      <c r="S585" s="46">
        <v>5.041666666666667</v>
      </c>
      <c r="T585" s="46" t="s">
        <v>7</v>
      </c>
      <c r="U585" s="46">
        <v>10</v>
      </c>
      <c r="V585" s="46" t="s">
        <v>7</v>
      </c>
    </row>
    <row r="586" spans="1:22" s="53" customFormat="1" x14ac:dyDescent="0.35">
      <c r="A586" s="2">
        <v>43258</v>
      </c>
      <c r="B586" s="3">
        <f t="shared" si="33"/>
        <v>2018</v>
      </c>
      <c r="C586" s="3">
        <f t="shared" si="34"/>
        <v>6</v>
      </c>
      <c r="D586" s="3">
        <f t="shared" si="35"/>
        <v>7</v>
      </c>
      <c r="E586" s="13">
        <v>26</v>
      </c>
      <c r="F586" s="13">
        <v>31</v>
      </c>
      <c r="G586" s="13">
        <v>29.2</v>
      </c>
      <c r="H586" s="34">
        <v>28.5</v>
      </c>
      <c r="I586" s="13">
        <v>31.5</v>
      </c>
      <c r="J586" s="13">
        <v>25</v>
      </c>
      <c r="K586" s="19" t="s">
        <v>9</v>
      </c>
      <c r="L586" s="20">
        <v>100</v>
      </c>
      <c r="M586" s="13" t="s">
        <v>16</v>
      </c>
      <c r="N586" s="13">
        <v>1010.1</v>
      </c>
      <c r="O586" s="8">
        <v>84.042334277741404</v>
      </c>
      <c r="P586" s="8">
        <v>62.073462486390426</v>
      </c>
      <c r="Q586" s="8">
        <v>79.361063160738937</v>
      </c>
      <c r="R586" s="8">
        <v>75</v>
      </c>
      <c r="S586" s="46">
        <v>3.6666666666666665</v>
      </c>
      <c r="T586" s="46" t="s">
        <v>3</v>
      </c>
      <c r="U586" s="46">
        <v>8</v>
      </c>
      <c r="V586" s="46" t="s">
        <v>3</v>
      </c>
    </row>
    <row r="587" spans="1:22" s="53" customFormat="1" x14ac:dyDescent="0.35">
      <c r="A587" s="2">
        <v>43259</v>
      </c>
      <c r="B587" s="3">
        <f t="shared" si="33"/>
        <v>2018</v>
      </c>
      <c r="C587" s="3">
        <f t="shared" si="34"/>
        <v>6</v>
      </c>
      <c r="D587" s="3">
        <f t="shared" si="35"/>
        <v>8</v>
      </c>
      <c r="E587" s="13">
        <v>26</v>
      </c>
      <c r="F587" s="13">
        <v>31.5</v>
      </c>
      <c r="G587" s="13">
        <v>29</v>
      </c>
      <c r="H587" s="34">
        <v>28.1</v>
      </c>
      <c r="I587" s="13">
        <v>32</v>
      </c>
      <c r="J587" s="13">
        <v>23.9</v>
      </c>
      <c r="K587" s="19" t="s">
        <v>9</v>
      </c>
      <c r="L587" s="20">
        <v>97.5</v>
      </c>
      <c r="M587" s="13" t="s">
        <v>16</v>
      </c>
      <c r="N587" s="13">
        <v>1009.7</v>
      </c>
      <c r="O587" s="8">
        <v>75.122904914963499</v>
      </c>
      <c r="P587" s="8">
        <v>55.890143755702816</v>
      </c>
      <c r="Q587" s="8">
        <v>77.274039829949146</v>
      </c>
      <c r="R587" s="8">
        <v>73</v>
      </c>
      <c r="S587" s="46">
        <v>4.458333333333333</v>
      </c>
      <c r="T587" s="46" t="s">
        <v>3</v>
      </c>
      <c r="U587" s="46">
        <v>9</v>
      </c>
      <c r="V587" s="46" t="s">
        <v>7</v>
      </c>
    </row>
    <row r="588" spans="1:22" s="53" customFormat="1" x14ac:dyDescent="0.35">
      <c r="A588" s="2">
        <v>43260</v>
      </c>
      <c r="B588" s="3">
        <f t="shared" si="33"/>
        <v>2018</v>
      </c>
      <c r="C588" s="3">
        <f t="shared" si="34"/>
        <v>6</v>
      </c>
      <c r="D588" s="3">
        <f t="shared" si="35"/>
        <v>9</v>
      </c>
      <c r="E588" s="13">
        <v>26.2</v>
      </c>
      <c r="F588" s="13">
        <v>31.8</v>
      </c>
      <c r="G588" s="13">
        <v>29</v>
      </c>
      <c r="H588" s="34">
        <v>28.1</v>
      </c>
      <c r="I588" s="13">
        <v>32.6</v>
      </c>
      <c r="J588" s="13">
        <v>23.6</v>
      </c>
      <c r="K588" s="19" t="s">
        <v>9</v>
      </c>
      <c r="L588" s="20">
        <v>90</v>
      </c>
      <c r="M588" s="13" t="s">
        <v>16</v>
      </c>
      <c r="N588" s="13">
        <v>1012</v>
      </c>
      <c r="O588" s="8">
        <v>89.968515836458096</v>
      </c>
      <c r="P588" s="8">
        <v>55.459368973190536</v>
      </c>
      <c r="Q588" s="8">
        <v>69.940095578184994</v>
      </c>
      <c r="R588" s="8">
        <v>70</v>
      </c>
      <c r="S588" s="46">
        <v>3.7083333333333335</v>
      </c>
      <c r="T588" s="46" t="s">
        <v>6</v>
      </c>
      <c r="U588" s="46">
        <v>8</v>
      </c>
      <c r="V588" s="46" t="s">
        <v>7</v>
      </c>
    </row>
    <row r="589" spans="1:22" s="53" customFormat="1" x14ac:dyDescent="0.35">
      <c r="A589" s="2">
        <v>43261</v>
      </c>
      <c r="B589" s="3">
        <f t="shared" si="33"/>
        <v>2018</v>
      </c>
      <c r="C589" s="3">
        <f t="shared" si="34"/>
        <v>6</v>
      </c>
      <c r="D589" s="3">
        <f t="shared" si="35"/>
        <v>10</v>
      </c>
      <c r="E589" s="13">
        <v>24.6</v>
      </c>
      <c r="F589" s="13">
        <v>31.3</v>
      </c>
      <c r="G589" s="13">
        <v>29.2</v>
      </c>
      <c r="H589" s="34">
        <v>28.3</v>
      </c>
      <c r="I589" s="13">
        <v>32.299999999999997</v>
      </c>
      <c r="J589" s="13">
        <v>24.6</v>
      </c>
      <c r="K589" s="19" t="s">
        <v>9</v>
      </c>
      <c r="L589" s="22">
        <v>90</v>
      </c>
      <c r="M589" s="13" t="s">
        <v>16</v>
      </c>
      <c r="N589" s="13">
        <v>1011.3</v>
      </c>
      <c r="O589" s="8">
        <v>78.07670594017172</v>
      </c>
      <c r="P589" s="8">
        <v>59.659525195015362</v>
      </c>
      <c r="Q589" s="8">
        <v>74.166461988785088</v>
      </c>
      <c r="R589" s="8">
        <v>72</v>
      </c>
      <c r="S589" s="46">
        <v>5.125</v>
      </c>
      <c r="T589" s="46" t="s">
        <v>6</v>
      </c>
      <c r="U589" s="46">
        <v>12</v>
      </c>
      <c r="V589" s="46" t="s">
        <v>3</v>
      </c>
    </row>
    <row r="590" spans="1:22" s="53" customFormat="1" x14ac:dyDescent="0.35">
      <c r="A590" s="2">
        <v>43262</v>
      </c>
      <c r="B590" s="3">
        <f t="shared" si="33"/>
        <v>2018</v>
      </c>
      <c r="C590" s="3">
        <f t="shared" si="34"/>
        <v>6</v>
      </c>
      <c r="D590" s="3">
        <f t="shared" si="35"/>
        <v>11</v>
      </c>
      <c r="E590" s="13">
        <v>26.2</v>
      </c>
      <c r="F590" s="13">
        <v>32.200000000000003</v>
      </c>
      <c r="G590" s="13">
        <v>29.6</v>
      </c>
      <c r="H590" s="34">
        <v>28.6</v>
      </c>
      <c r="I590" s="13">
        <v>33</v>
      </c>
      <c r="J590" s="13">
        <v>25.2</v>
      </c>
      <c r="K590" s="19" t="s">
        <v>9</v>
      </c>
      <c r="L590" s="20">
        <v>62.5</v>
      </c>
      <c r="M590" s="13" t="s">
        <v>16</v>
      </c>
      <c r="N590" s="13">
        <v>1011.3</v>
      </c>
      <c r="O590" s="8">
        <v>71.289681892766282</v>
      </c>
      <c r="P590" s="8">
        <v>60.520376174788602</v>
      </c>
      <c r="Q590" s="8">
        <v>71.268343418547644</v>
      </c>
      <c r="R590" s="8">
        <v>68</v>
      </c>
      <c r="S590" s="46">
        <v>3.0833333333333335</v>
      </c>
      <c r="T590" s="46" t="s">
        <v>6</v>
      </c>
      <c r="U590" s="46">
        <v>7</v>
      </c>
      <c r="V590" s="46" t="s">
        <v>7</v>
      </c>
    </row>
    <row r="591" spans="1:22" s="53" customFormat="1" x14ac:dyDescent="0.35">
      <c r="A591" s="2">
        <v>43263</v>
      </c>
      <c r="B591" s="3">
        <f t="shared" si="33"/>
        <v>2018</v>
      </c>
      <c r="C591" s="3">
        <f t="shared" si="34"/>
        <v>6</v>
      </c>
      <c r="D591" s="3">
        <f t="shared" si="35"/>
        <v>12</v>
      </c>
      <c r="E591" s="13">
        <v>27</v>
      </c>
      <c r="F591" s="13">
        <v>31.8</v>
      </c>
      <c r="G591" s="13">
        <v>29.2</v>
      </c>
      <c r="H591" s="34">
        <v>28.4</v>
      </c>
      <c r="I591" s="13">
        <v>32.4</v>
      </c>
      <c r="J591" s="13">
        <v>25.4</v>
      </c>
      <c r="K591" s="19" t="s">
        <v>9</v>
      </c>
      <c r="L591" s="22">
        <v>93.75</v>
      </c>
      <c r="M591" s="13" t="s">
        <v>16</v>
      </c>
      <c r="N591" s="13">
        <v>1010.1</v>
      </c>
      <c r="O591" s="8">
        <v>64.049654276474485</v>
      </c>
      <c r="P591" s="8">
        <v>59.623028626461107</v>
      </c>
      <c r="Q591" s="8">
        <v>75.209916123495276</v>
      </c>
      <c r="R591" s="8">
        <v>65</v>
      </c>
      <c r="S591" s="46">
        <v>5.166666666666667</v>
      </c>
      <c r="T591" s="46" t="s">
        <v>6</v>
      </c>
      <c r="U591" s="46">
        <v>10</v>
      </c>
      <c r="V591" s="46" t="s">
        <v>7</v>
      </c>
    </row>
    <row r="592" spans="1:22" s="53" customFormat="1" x14ac:dyDescent="0.35">
      <c r="A592" s="2">
        <v>43264</v>
      </c>
      <c r="B592" s="3">
        <f t="shared" si="33"/>
        <v>2018</v>
      </c>
      <c r="C592" s="3">
        <f t="shared" si="34"/>
        <v>6</v>
      </c>
      <c r="D592" s="3">
        <f t="shared" si="35"/>
        <v>13</v>
      </c>
      <c r="E592" s="13">
        <v>26.6</v>
      </c>
      <c r="F592" s="13">
        <v>31.4</v>
      </c>
      <c r="G592" s="13">
        <v>29</v>
      </c>
      <c r="H592" s="34">
        <v>27.9</v>
      </c>
      <c r="I592" s="13">
        <v>32</v>
      </c>
      <c r="J592" s="13">
        <v>24.2</v>
      </c>
      <c r="K592" s="19" t="s">
        <v>9</v>
      </c>
      <c r="L592" s="20">
        <v>87.5</v>
      </c>
      <c r="M592" s="13" t="s">
        <v>16</v>
      </c>
      <c r="N592" s="13">
        <v>1010.5</v>
      </c>
      <c r="O592" s="8">
        <v>69.201254627052904</v>
      </c>
      <c r="P592" s="8">
        <v>56.445159898084704</v>
      </c>
      <c r="Q592" s="8">
        <v>66.969824522088857</v>
      </c>
      <c r="R592" s="8">
        <v>67</v>
      </c>
      <c r="S592" s="46">
        <v>5.125</v>
      </c>
      <c r="T592" s="46" t="s">
        <v>3</v>
      </c>
      <c r="U592" s="46">
        <v>11</v>
      </c>
      <c r="V592" s="46" t="s">
        <v>7</v>
      </c>
    </row>
    <row r="593" spans="1:22" s="53" customFormat="1" x14ac:dyDescent="0.35">
      <c r="A593" s="2">
        <v>43265</v>
      </c>
      <c r="B593" s="3">
        <f t="shared" si="33"/>
        <v>2018</v>
      </c>
      <c r="C593" s="3">
        <f t="shared" si="34"/>
        <v>6</v>
      </c>
      <c r="D593" s="3">
        <f t="shared" si="35"/>
        <v>14</v>
      </c>
      <c r="E593" s="13">
        <v>26</v>
      </c>
      <c r="F593" s="13">
        <v>31.1</v>
      </c>
      <c r="G593" s="13">
        <v>28.7</v>
      </c>
      <c r="H593" s="34">
        <v>27.4</v>
      </c>
      <c r="I593" s="13">
        <v>32</v>
      </c>
      <c r="J593" s="13">
        <v>22.5</v>
      </c>
      <c r="K593" s="19" t="s">
        <v>9</v>
      </c>
      <c r="L593" s="20">
        <v>100</v>
      </c>
      <c r="M593" s="13" t="s">
        <v>16</v>
      </c>
      <c r="N593" s="13">
        <v>1011</v>
      </c>
      <c r="O593" s="8">
        <v>75.939743223546671</v>
      </c>
      <c r="P593" s="8">
        <v>59.419983850532446</v>
      </c>
      <c r="Q593" s="8">
        <v>69.980083663783901</v>
      </c>
      <c r="R593" s="8">
        <v>71</v>
      </c>
      <c r="S593" s="46">
        <v>4.083333333333333</v>
      </c>
      <c r="T593" s="46" t="s">
        <v>3</v>
      </c>
      <c r="U593" s="46">
        <v>9</v>
      </c>
      <c r="V593" s="46" t="s">
        <v>3</v>
      </c>
    </row>
    <row r="594" spans="1:22" s="53" customFormat="1" x14ac:dyDescent="0.35">
      <c r="A594" s="2">
        <v>43266</v>
      </c>
      <c r="B594" s="3">
        <f t="shared" si="33"/>
        <v>2018</v>
      </c>
      <c r="C594" s="3">
        <f t="shared" si="34"/>
        <v>6</v>
      </c>
      <c r="D594" s="3">
        <f t="shared" si="35"/>
        <v>15</v>
      </c>
      <c r="E594" s="13">
        <v>25</v>
      </c>
      <c r="F594" s="13">
        <v>30.4</v>
      </c>
      <c r="G594" s="13">
        <v>28.2</v>
      </c>
      <c r="H594" s="34">
        <v>26.9</v>
      </c>
      <c r="I594" s="13">
        <v>31.4</v>
      </c>
      <c r="J594" s="13">
        <v>22.6</v>
      </c>
      <c r="K594" s="90" t="s">
        <v>9</v>
      </c>
      <c r="L594" s="20">
        <v>100</v>
      </c>
      <c r="M594" s="13" t="s">
        <v>16</v>
      </c>
      <c r="N594" s="13">
        <v>1011.4</v>
      </c>
      <c r="O594" s="8">
        <v>78.90084980936723</v>
      </c>
      <c r="P594" s="8">
        <v>58.38292656417434</v>
      </c>
      <c r="Q594" s="8">
        <v>69.432938262154266</v>
      </c>
      <c r="R594" s="8">
        <v>73</v>
      </c>
      <c r="S594" s="46">
        <v>5.75</v>
      </c>
      <c r="T594" s="46" t="s">
        <v>3</v>
      </c>
      <c r="U594" s="46">
        <v>14</v>
      </c>
      <c r="V594" s="46" t="s">
        <v>3</v>
      </c>
    </row>
    <row r="595" spans="1:22" s="53" customFormat="1" x14ac:dyDescent="0.35">
      <c r="A595" s="2">
        <v>43267</v>
      </c>
      <c r="B595" s="3">
        <f t="shared" si="33"/>
        <v>2018</v>
      </c>
      <c r="C595" s="3">
        <f t="shared" si="34"/>
        <v>6</v>
      </c>
      <c r="D595" s="3">
        <f t="shared" si="35"/>
        <v>16</v>
      </c>
      <c r="E595" s="13">
        <v>24.8</v>
      </c>
      <c r="F595" s="13">
        <v>30.6</v>
      </c>
      <c r="G595" s="13">
        <v>28.4</v>
      </c>
      <c r="H595" s="34">
        <v>27.7</v>
      </c>
      <c r="I595" s="13">
        <v>31.4</v>
      </c>
      <c r="J595" s="13">
        <v>24.2</v>
      </c>
      <c r="K595" s="19" t="s">
        <v>9</v>
      </c>
      <c r="L595" s="20">
        <v>102.49999999999999</v>
      </c>
      <c r="M595" s="13" t="s">
        <v>16</v>
      </c>
      <c r="N595" s="13">
        <v>1010.2</v>
      </c>
      <c r="O595" s="8">
        <v>82.268628724785273</v>
      </c>
      <c r="P595" s="8">
        <v>66.96383709646085</v>
      </c>
      <c r="Q595" s="8">
        <v>68.226128580990107</v>
      </c>
      <c r="R595" s="8">
        <v>72</v>
      </c>
      <c r="S595" s="46">
        <v>7.208333333333333</v>
      </c>
      <c r="T595" s="46" t="s">
        <v>7</v>
      </c>
      <c r="U595" s="46">
        <v>14</v>
      </c>
      <c r="V595" s="46" t="s">
        <v>3</v>
      </c>
    </row>
    <row r="596" spans="1:22" s="53" customFormat="1" x14ac:dyDescent="0.35">
      <c r="A596" s="2">
        <v>43268</v>
      </c>
      <c r="B596" s="3">
        <f t="shared" si="33"/>
        <v>2018</v>
      </c>
      <c r="C596" s="3">
        <f t="shared" si="34"/>
        <v>6</v>
      </c>
      <c r="D596" s="3">
        <f t="shared" si="35"/>
        <v>17</v>
      </c>
      <c r="E596" s="13">
        <v>25.4</v>
      </c>
      <c r="F596" s="13">
        <v>30.6</v>
      </c>
      <c r="G596" s="13">
        <v>28.6</v>
      </c>
      <c r="H596" s="34">
        <v>27.9</v>
      </c>
      <c r="I596" s="13">
        <v>31.6</v>
      </c>
      <c r="J596" s="13">
        <v>24</v>
      </c>
      <c r="K596" s="19" t="s">
        <v>9</v>
      </c>
      <c r="L596" s="20">
        <v>92.5</v>
      </c>
      <c r="M596" s="13" t="s">
        <v>16</v>
      </c>
      <c r="N596" s="13">
        <v>1010.2</v>
      </c>
      <c r="O596" s="8">
        <v>82.186531997321282</v>
      </c>
      <c r="P596" s="8">
        <v>54.48957438520241</v>
      </c>
      <c r="Q596" s="8">
        <v>68.491104410455307</v>
      </c>
      <c r="R596" s="8">
        <v>72</v>
      </c>
      <c r="S596" s="46">
        <v>5.25</v>
      </c>
      <c r="T596" s="47" t="s">
        <v>3</v>
      </c>
      <c r="U596" s="46">
        <v>14</v>
      </c>
      <c r="V596" s="46" t="s">
        <v>3</v>
      </c>
    </row>
    <row r="597" spans="1:22" s="53" customFormat="1" x14ac:dyDescent="0.35">
      <c r="A597" s="2">
        <v>43269</v>
      </c>
      <c r="B597" s="3">
        <f t="shared" si="33"/>
        <v>2018</v>
      </c>
      <c r="C597" s="3">
        <f t="shared" si="34"/>
        <v>6</v>
      </c>
      <c r="D597" s="3">
        <f t="shared" si="35"/>
        <v>18</v>
      </c>
      <c r="E597" s="13">
        <v>25.2</v>
      </c>
      <c r="F597" s="13">
        <v>31.5</v>
      </c>
      <c r="G597" s="13">
        <v>29</v>
      </c>
      <c r="H597" s="34">
        <v>28</v>
      </c>
      <c r="I597" s="13">
        <v>32</v>
      </c>
      <c r="J597" s="13">
        <v>24.8</v>
      </c>
      <c r="K597" s="19" t="s">
        <v>9</v>
      </c>
      <c r="L597" s="20">
        <v>100</v>
      </c>
      <c r="M597" s="13" t="s">
        <v>16</v>
      </c>
      <c r="N597" s="13">
        <v>1010.7</v>
      </c>
      <c r="O597" s="8">
        <v>75.122904914963499</v>
      </c>
      <c r="P597" s="8">
        <v>58.925926770157574</v>
      </c>
      <c r="Q597" s="8">
        <v>73.403801579739962</v>
      </c>
      <c r="R597" s="8">
        <v>70</v>
      </c>
      <c r="S597" s="46">
        <v>6.041666666666667</v>
      </c>
      <c r="T597" s="46" t="s">
        <v>6</v>
      </c>
      <c r="U597" s="46">
        <v>12</v>
      </c>
      <c r="V597" s="46" t="s">
        <v>6</v>
      </c>
    </row>
    <row r="598" spans="1:22" s="53" customFormat="1" x14ac:dyDescent="0.35">
      <c r="A598" s="2">
        <v>43270</v>
      </c>
      <c r="B598" s="3">
        <f t="shared" si="33"/>
        <v>2018</v>
      </c>
      <c r="C598" s="3">
        <f t="shared" si="34"/>
        <v>6</v>
      </c>
      <c r="D598" s="3">
        <f t="shared" si="35"/>
        <v>19</v>
      </c>
      <c r="E598" s="13">
        <v>26.2</v>
      </c>
      <c r="F598" s="13">
        <v>32</v>
      </c>
      <c r="G598" s="13">
        <v>28.2</v>
      </c>
      <c r="H598" s="34">
        <v>28.2</v>
      </c>
      <c r="I598" s="13">
        <v>32.799999999999997</v>
      </c>
      <c r="J598" s="13">
        <v>24.8</v>
      </c>
      <c r="K598" s="19" t="s">
        <v>9</v>
      </c>
      <c r="L598" s="20">
        <v>100</v>
      </c>
      <c r="M598" s="13" t="s">
        <v>16</v>
      </c>
      <c r="N598" s="13">
        <v>1010.8</v>
      </c>
      <c r="O598" s="8">
        <v>69.341165256510749</v>
      </c>
      <c r="P598" s="8">
        <v>62.157219363840795</v>
      </c>
      <c r="Q598" s="8">
        <v>93.32637261393613</v>
      </c>
      <c r="R598" s="8">
        <v>78</v>
      </c>
      <c r="S598" s="46">
        <v>6.041666666666667</v>
      </c>
      <c r="T598" s="46" t="s">
        <v>7</v>
      </c>
      <c r="U598" s="76">
        <v>13</v>
      </c>
      <c r="V598" s="76" t="s">
        <v>7</v>
      </c>
    </row>
    <row r="599" spans="1:22" s="53" customFormat="1" x14ac:dyDescent="0.35">
      <c r="A599" s="2">
        <v>43271</v>
      </c>
      <c r="B599" s="3">
        <f t="shared" si="33"/>
        <v>2018</v>
      </c>
      <c r="C599" s="3">
        <f t="shared" si="34"/>
        <v>6</v>
      </c>
      <c r="D599" s="3">
        <f t="shared" si="35"/>
        <v>20</v>
      </c>
      <c r="E599" s="13">
        <v>26.2</v>
      </c>
      <c r="F599" s="13">
        <v>30.8</v>
      </c>
      <c r="G599" s="13">
        <v>25</v>
      </c>
      <c r="H599" s="34">
        <v>27.3</v>
      </c>
      <c r="I599" s="13">
        <v>31.6</v>
      </c>
      <c r="J599" s="13">
        <v>24.2</v>
      </c>
      <c r="K599" s="19" t="s">
        <v>9</v>
      </c>
      <c r="L599" s="20">
        <v>62.5</v>
      </c>
      <c r="M599" s="13" t="s">
        <v>11</v>
      </c>
      <c r="N599" s="13">
        <v>1011.5</v>
      </c>
      <c r="O599" s="8">
        <v>88.393064158060469</v>
      </c>
      <c r="P599" s="8">
        <v>65.362314527849009</v>
      </c>
      <c r="Q599" s="8">
        <v>82.031624455479871</v>
      </c>
      <c r="R599" s="8">
        <v>80</v>
      </c>
      <c r="S599" s="46">
        <v>4.791666666666667</v>
      </c>
      <c r="T599" s="46" t="s">
        <v>19</v>
      </c>
      <c r="U599" s="46">
        <v>11</v>
      </c>
      <c r="V599" s="46" t="s">
        <v>8</v>
      </c>
    </row>
    <row r="600" spans="1:22" s="53" customFormat="1" x14ac:dyDescent="0.35">
      <c r="A600" s="2">
        <v>43272</v>
      </c>
      <c r="B600" s="3">
        <f t="shared" si="33"/>
        <v>2018</v>
      </c>
      <c r="C600" s="3">
        <f t="shared" si="34"/>
        <v>6</v>
      </c>
      <c r="D600" s="3">
        <f t="shared" si="35"/>
        <v>21</v>
      </c>
      <c r="E600" s="13">
        <v>24.8</v>
      </c>
      <c r="F600" s="13">
        <v>31</v>
      </c>
      <c r="G600" s="13">
        <v>28.6</v>
      </c>
      <c r="H600" s="34">
        <v>27.4</v>
      </c>
      <c r="I600" s="13">
        <v>32.200000000000003</v>
      </c>
      <c r="J600" s="13">
        <v>24.4</v>
      </c>
      <c r="K600" s="19">
        <v>4.5999999999999996</v>
      </c>
      <c r="L600" s="20">
        <v>35</v>
      </c>
      <c r="M600" s="13" t="s">
        <v>11</v>
      </c>
      <c r="N600" s="13">
        <v>1011</v>
      </c>
      <c r="O600" s="8">
        <v>85.320624331577875</v>
      </c>
      <c r="P600" s="8">
        <v>64.884196544104626</v>
      </c>
      <c r="Q600" s="8">
        <v>76.387818684939546</v>
      </c>
      <c r="R600" s="8">
        <v>77</v>
      </c>
      <c r="S600" s="46">
        <v>4.458333333333333</v>
      </c>
      <c r="T600" s="46" t="s">
        <v>6</v>
      </c>
      <c r="U600" s="46">
        <v>10</v>
      </c>
      <c r="V600" s="46" t="s">
        <v>3</v>
      </c>
    </row>
    <row r="601" spans="1:22" s="53" customFormat="1" x14ac:dyDescent="0.35">
      <c r="A601" s="2">
        <v>43273</v>
      </c>
      <c r="B601" s="3">
        <f t="shared" si="33"/>
        <v>2018</v>
      </c>
      <c r="C601" s="3">
        <f t="shared" si="34"/>
        <v>6</v>
      </c>
      <c r="D601" s="3">
        <f t="shared" si="35"/>
        <v>22</v>
      </c>
      <c r="E601" s="13">
        <v>25.2</v>
      </c>
      <c r="F601" s="13">
        <v>31.2</v>
      </c>
      <c r="G601" s="13">
        <v>28.6</v>
      </c>
      <c r="H601" s="34">
        <v>27.6</v>
      </c>
      <c r="I601" s="13">
        <v>31.8</v>
      </c>
      <c r="J601" s="13">
        <v>24.6</v>
      </c>
      <c r="K601" s="19"/>
      <c r="L601" s="20">
        <v>51.249999999999993</v>
      </c>
      <c r="M601" s="13" t="s">
        <v>18</v>
      </c>
      <c r="N601" s="13">
        <v>1010.4</v>
      </c>
      <c r="O601" s="8">
        <v>81.453018255918337</v>
      </c>
      <c r="P601" s="8">
        <v>65.296272058668848</v>
      </c>
      <c r="Q601" s="8">
        <v>81.956325304643215</v>
      </c>
      <c r="R601" s="8">
        <v>78</v>
      </c>
      <c r="S601" s="46">
        <v>4.208333333333333</v>
      </c>
      <c r="T601" s="46" t="s">
        <v>19</v>
      </c>
      <c r="U601" s="46">
        <v>10</v>
      </c>
      <c r="V601" s="46" t="s">
        <v>3</v>
      </c>
    </row>
    <row r="602" spans="1:22" s="53" customFormat="1" x14ac:dyDescent="0.35">
      <c r="A602" s="2">
        <v>43274</v>
      </c>
      <c r="B602" s="3">
        <f t="shared" si="33"/>
        <v>2018</v>
      </c>
      <c r="C602" s="3">
        <f t="shared" si="34"/>
        <v>6</v>
      </c>
      <c r="D602" s="3">
        <f t="shared" si="35"/>
        <v>23</v>
      </c>
      <c r="E602" s="13">
        <v>25.3</v>
      </c>
      <c r="F602" s="13">
        <v>30</v>
      </c>
      <c r="G602" s="13">
        <v>28.4</v>
      </c>
      <c r="H602" s="34">
        <v>27.6</v>
      </c>
      <c r="I602" s="13">
        <v>31</v>
      </c>
      <c r="J602" s="13">
        <v>24.4</v>
      </c>
      <c r="K602" s="19"/>
      <c r="L602" s="20">
        <v>97.5</v>
      </c>
      <c r="M602" s="13" t="s">
        <v>16</v>
      </c>
      <c r="N602" s="13">
        <v>1009.7</v>
      </c>
      <c r="O602" s="8">
        <v>83.896736925091147</v>
      </c>
      <c r="P602" s="8">
        <v>67.784935533682031</v>
      </c>
      <c r="Q602" s="8">
        <v>74.574595333638541</v>
      </c>
      <c r="R602" s="8">
        <v>77</v>
      </c>
      <c r="S602" s="46">
        <v>4.958333333333333</v>
      </c>
      <c r="T602" s="46" t="s">
        <v>6</v>
      </c>
      <c r="U602" s="46">
        <v>11</v>
      </c>
      <c r="V602" s="46" t="s">
        <v>7</v>
      </c>
    </row>
    <row r="603" spans="1:22" s="53" customFormat="1" x14ac:dyDescent="0.35">
      <c r="A603" s="2">
        <v>43275</v>
      </c>
      <c r="B603" s="3">
        <f t="shared" si="33"/>
        <v>2018</v>
      </c>
      <c r="C603" s="3">
        <f t="shared" si="34"/>
        <v>6</v>
      </c>
      <c r="D603" s="3">
        <f t="shared" si="35"/>
        <v>24</v>
      </c>
      <c r="E603" s="13">
        <v>25.6</v>
      </c>
      <c r="F603" s="13">
        <v>30.9</v>
      </c>
      <c r="G603" s="13">
        <v>27.8</v>
      </c>
      <c r="H603" s="34">
        <v>27.7</v>
      </c>
      <c r="I603" s="13">
        <v>31.6</v>
      </c>
      <c r="J603" s="13">
        <v>24.6</v>
      </c>
      <c r="K603" s="19"/>
      <c r="L603" s="20">
        <v>96.25</v>
      </c>
      <c r="M603" s="13" t="s">
        <v>11</v>
      </c>
      <c r="N603" s="13">
        <v>1009.4</v>
      </c>
      <c r="O603" s="8">
        <v>85.320624331577875</v>
      </c>
      <c r="P603" s="8">
        <v>64.181859698380748</v>
      </c>
      <c r="Q603" s="8">
        <v>72.460198729062924</v>
      </c>
      <c r="R603" s="8">
        <v>78</v>
      </c>
      <c r="S603" s="46">
        <v>4.458333333333333</v>
      </c>
      <c r="T603" s="46" t="s">
        <v>4</v>
      </c>
      <c r="U603" s="46">
        <v>8</v>
      </c>
      <c r="V603" s="46" t="s">
        <v>2</v>
      </c>
    </row>
    <row r="604" spans="1:22" s="53" customFormat="1" x14ac:dyDescent="0.35">
      <c r="A604" s="2">
        <v>43276</v>
      </c>
      <c r="B604" s="3">
        <f t="shared" si="33"/>
        <v>2018</v>
      </c>
      <c r="C604" s="3">
        <f t="shared" si="34"/>
        <v>6</v>
      </c>
      <c r="D604" s="3">
        <f t="shared" si="35"/>
        <v>25</v>
      </c>
      <c r="E604" s="13">
        <v>25.2</v>
      </c>
      <c r="F604" s="13">
        <v>30.2</v>
      </c>
      <c r="G604" s="13">
        <v>26.6</v>
      </c>
      <c r="H604" s="34">
        <v>26.5</v>
      </c>
      <c r="I604" s="13">
        <v>31</v>
      </c>
      <c r="J604" s="13">
        <v>23.5</v>
      </c>
      <c r="K604" s="19"/>
      <c r="L604" s="20">
        <v>25</v>
      </c>
      <c r="M604" s="13" t="s">
        <v>11</v>
      </c>
      <c r="N604" s="13">
        <v>1009.7</v>
      </c>
      <c r="O604" s="8">
        <v>80.454646061472772</v>
      </c>
      <c r="P604" s="8">
        <v>60.474201295188678</v>
      </c>
      <c r="Q604" s="8">
        <v>72.026837161300264</v>
      </c>
      <c r="R604" s="8">
        <v>73</v>
      </c>
      <c r="S604" s="46">
        <v>4.541666666666667</v>
      </c>
      <c r="T604" s="46" t="s">
        <v>6</v>
      </c>
      <c r="U604" s="46">
        <v>8</v>
      </c>
      <c r="V604" s="46" t="s">
        <v>7</v>
      </c>
    </row>
    <row r="605" spans="1:22" s="53" customFormat="1" x14ac:dyDescent="0.35">
      <c r="A605" s="2">
        <v>43277</v>
      </c>
      <c r="B605" s="3">
        <f t="shared" si="33"/>
        <v>2018</v>
      </c>
      <c r="C605" s="3">
        <f t="shared" si="34"/>
        <v>6</v>
      </c>
      <c r="D605" s="3">
        <f t="shared" si="35"/>
        <v>26</v>
      </c>
      <c r="E605" s="13">
        <v>24.8</v>
      </c>
      <c r="F605" s="13">
        <v>30.2</v>
      </c>
      <c r="G605" s="13">
        <v>28.2</v>
      </c>
      <c r="H605" s="34">
        <v>27.2</v>
      </c>
      <c r="I605" s="13">
        <v>32.200000000000003</v>
      </c>
      <c r="J605" s="13">
        <v>24</v>
      </c>
      <c r="K605" s="19">
        <v>1</v>
      </c>
      <c r="L605" s="20">
        <v>37.5</v>
      </c>
      <c r="M605" s="13" t="s">
        <v>20</v>
      </c>
      <c r="N605" s="13">
        <v>1009.9</v>
      </c>
      <c r="O605" s="8">
        <v>74.545479049256983</v>
      </c>
      <c r="P605" s="8">
        <v>46.162296406208405</v>
      </c>
      <c r="Q605" s="8">
        <v>62.327271178886356</v>
      </c>
      <c r="R605" s="8">
        <v>65</v>
      </c>
      <c r="S605" s="46">
        <v>4.958333333333333</v>
      </c>
      <c r="T605" s="46" t="s">
        <v>6</v>
      </c>
      <c r="U605" s="46">
        <v>11</v>
      </c>
      <c r="V605" s="46" t="s">
        <v>6</v>
      </c>
    </row>
    <row r="606" spans="1:22" s="53" customFormat="1" x14ac:dyDescent="0.35">
      <c r="A606" s="2">
        <v>43278</v>
      </c>
      <c r="B606" s="3">
        <f t="shared" si="33"/>
        <v>2018</v>
      </c>
      <c r="C606" s="3">
        <f t="shared" si="34"/>
        <v>6</v>
      </c>
      <c r="D606" s="3">
        <f t="shared" si="35"/>
        <v>27</v>
      </c>
      <c r="E606" s="13">
        <v>25.2</v>
      </c>
      <c r="F606" s="13">
        <v>32</v>
      </c>
      <c r="G606" s="13">
        <v>29.4</v>
      </c>
      <c r="H606" s="34">
        <v>27.8</v>
      </c>
      <c r="I606" s="13">
        <v>32.6</v>
      </c>
      <c r="J606" s="13">
        <v>24.4</v>
      </c>
      <c r="K606" s="19" t="s">
        <v>9</v>
      </c>
      <c r="L606" s="20">
        <v>100</v>
      </c>
      <c r="M606" s="13" t="s">
        <v>16</v>
      </c>
      <c r="N606" s="13">
        <v>1009.2</v>
      </c>
      <c r="O606" s="8">
        <v>68.916770107216379</v>
      </c>
      <c r="P606" s="8">
        <v>50.624641128387893</v>
      </c>
      <c r="Q606" s="8">
        <v>68.892717196522256</v>
      </c>
      <c r="R606" s="8">
        <v>65</v>
      </c>
      <c r="S606" s="46">
        <v>4.541666666666667</v>
      </c>
      <c r="T606" s="46" t="s">
        <v>4</v>
      </c>
      <c r="U606" s="46">
        <v>8</v>
      </c>
      <c r="V606" s="46" t="s">
        <v>7</v>
      </c>
    </row>
    <row r="607" spans="1:22" s="53" customFormat="1" x14ac:dyDescent="0.35">
      <c r="A607" s="2">
        <v>43279</v>
      </c>
      <c r="B607" s="3">
        <f t="shared" si="33"/>
        <v>2018</v>
      </c>
      <c r="C607" s="3">
        <f t="shared" si="34"/>
        <v>6</v>
      </c>
      <c r="D607" s="3">
        <f t="shared" si="35"/>
        <v>28</v>
      </c>
      <c r="E607" s="13">
        <v>25.6</v>
      </c>
      <c r="F607" s="13">
        <v>31</v>
      </c>
      <c r="G607" s="13">
        <v>28.6</v>
      </c>
      <c r="H607" s="34">
        <v>27.5</v>
      </c>
      <c r="I607" s="13">
        <v>31.8</v>
      </c>
      <c r="J607" s="13">
        <v>24</v>
      </c>
      <c r="K607" s="17" t="s">
        <v>9</v>
      </c>
      <c r="L607" s="20">
        <v>97.5</v>
      </c>
      <c r="M607" s="13" t="s">
        <v>16</v>
      </c>
      <c r="N607" s="13">
        <v>1009.8</v>
      </c>
      <c r="O607" s="8">
        <v>66.913871627270311</v>
      </c>
      <c r="P607" s="8">
        <v>56.036556219372471</v>
      </c>
      <c r="Q607" s="8">
        <v>53.908525613624207</v>
      </c>
      <c r="R607" s="8">
        <v>62</v>
      </c>
      <c r="S607" s="46">
        <v>4.833333333333333</v>
      </c>
      <c r="T607" s="46" t="s">
        <v>6</v>
      </c>
      <c r="U607" s="46">
        <v>9</v>
      </c>
      <c r="V607" s="46" t="s">
        <v>6</v>
      </c>
    </row>
    <row r="608" spans="1:22" s="53" customFormat="1" x14ac:dyDescent="0.35">
      <c r="A608" s="2">
        <v>43280</v>
      </c>
      <c r="B608" s="3">
        <f t="shared" si="33"/>
        <v>2018</v>
      </c>
      <c r="C608" s="3">
        <f t="shared" si="34"/>
        <v>6</v>
      </c>
      <c r="D608" s="3">
        <f t="shared" si="35"/>
        <v>29</v>
      </c>
      <c r="E608" s="13">
        <v>25.8</v>
      </c>
      <c r="F608" s="13">
        <v>31.3</v>
      </c>
      <c r="G608" s="13">
        <v>29.6</v>
      </c>
      <c r="H608" s="34">
        <v>27.9</v>
      </c>
      <c r="I608" s="13">
        <v>32</v>
      </c>
      <c r="J608" s="13">
        <v>24.3</v>
      </c>
      <c r="K608" s="19" t="s">
        <v>9</v>
      </c>
      <c r="L608" s="20">
        <v>100</v>
      </c>
      <c r="M608" s="13" t="s">
        <v>16</v>
      </c>
      <c r="N608" s="13">
        <v>1008.9</v>
      </c>
      <c r="O608" s="8">
        <v>68.844661072762548</v>
      </c>
      <c r="P608" s="8">
        <v>54.578038387347391</v>
      </c>
      <c r="Q608" s="8">
        <v>71.02877367431519</v>
      </c>
      <c r="R608" s="8">
        <v>67</v>
      </c>
      <c r="S608" s="46">
        <v>4.833333333333333</v>
      </c>
      <c r="T608" s="46" t="s">
        <v>6</v>
      </c>
      <c r="U608" s="46">
        <v>0</v>
      </c>
      <c r="V608" s="46">
        <v>0</v>
      </c>
    </row>
    <row r="609" spans="1:22" s="53" customFormat="1" x14ac:dyDescent="0.35">
      <c r="A609" s="2">
        <v>43281</v>
      </c>
      <c r="B609" s="3">
        <f t="shared" si="33"/>
        <v>2018</v>
      </c>
      <c r="C609" s="3">
        <f t="shared" si="34"/>
        <v>6</v>
      </c>
      <c r="D609" s="3">
        <f t="shared" si="35"/>
        <v>30</v>
      </c>
      <c r="E609" s="13">
        <v>25.5</v>
      </c>
      <c r="F609" s="13">
        <v>31.6</v>
      </c>
      <c r="G609" s="13">
        <v>28.8</v>
      </c>
      <c r="H609" s="34">
        <v>27.6</v>
      </c>
      <c r="I609" s="13">
        <v>32.4</v>
      </c>
      <c r="J609" s="13">
        <v>23.2</v>
      </c>
      <c r="K609" s="19" t="s">
        <v>9</v>
      </c>
      <c r="L609" s="20">
        <v>100</v>
      </c>
      <c r="M609" s="13" t="s">
        <v>16</v>
      </c>
      <c r="N609" s="13">
        <v>1010.7</v>
      </c>
      <c r="O609" s="8">
        <v>87.969116970044453</v>
      </c>
      <c r="P609" s="8">
        <v>56.700541527047207</v>
      </c>
      <c r="Q609" s="8">
        <v>72.606349963958579</v>
      </c>
      <c r="R609" s="8">
        <f>(2*O609+P609+Q609)/4</f>
        <v>76.311281357773666</v>
      </c>
      <c r="S609" s="46">
        <v>8.5</v>
      </c>
      <c r="T609" s="46" t="s">
        <v>3</v>
      </c>
      <c r="U609" s="46">
        <v>15</v>
      </c>
      <c r="V609" s="46" t="s">
        <v>14</v>
      </c>
    </row>
    <row r="610" spans="1:22" s="53" customFormat="1" x14ac:dyDescent="0.35">
      <c r="A610" s="2">
        <v>43282</v>
      </c>
      <c r="B610" s="3">
        <f t="shared" si="33"/>
        <v>2018</v>
      </c>
      <c r="C610" s="3">
        <f t="shared" si="34"/>
        <v>7</v>
      </c>
      <c r="D610" s="3">
        <f t="shared" si="35"/>
        <v>1</v>
      </c>
      <c r="E610" s="36">
        <v>24.8</v>
      </c>
      <c r="F610" s="36">
        <v>30.2</v>
      </c>
      <c r="G610" s="36">
        <v>28</v>
      </c>
      <c r="H610" s="34">
        <v>27.2</v>
      </c>
      <c r="I610" s="13">
        <v>31.6</v>
      </c>
      <c r="J610" s="13">
        <v>22.6</v>
      </c>
      <c r="K610" s="15" t="s">
        <v>9</v>
      </c>
      <c r="L610" s="20">
        <v>100</v>
      </c>
      <c r="M610" s="6"/>
      <c r="N610" s="13">
        <v>1009.6</v>
      </c>
      <c r="O610" s="8">
        <v>73</v>
      </c>
      <c r="P610" s="8">
        <v>62</v>
      </c>
      <c r="Q610" s="8">
        <v>72</v>
      </c>
      <c r="R610" s="8">
        <v>73</v>
      </c>
      <c r="S610" s="20">
        <v>5</v>
      </c>
      <c r="T610" s="6" t="s">
        <v>3</v>
      </c>
      <c r="U610" s="20">
        <v>12</v>
      </c>
      <c r="V610" s="12" t="s">
        <v>7</v>
      </c>
    </row>
    <row r="611" spans="1:22" s="53" customFormat="1" x14ac:dyDescent="0.35">
      <c r="A611" s="2">
        <v>43283</v>
      </c>
      <c r="B611" s="3">
        <f t="shared" si="33"/>
        <v>2018</v>
      </c>
      <c r="C611" s="3">
        <f t="shared" si="34"/>
        <v>7</v>
      </c>
      <c r="D611" s="3">
        <f t="shared" si="35"/>
        <v>2</v>
      </c>
      <c r="E611" s="36">
        <v>23.6</v>
      </c>
      <c r="F611" s="36">
        <v>30.8</v>
      </c>
      <c r="G611" s="36">
        <v>27.6</v>
      </c>
      <c r="H611" s="34">
        <v>26.9</v>
      </c>
      <c r="I611" s="13">
        <v>31.2</v>
      </c>
      <c r="J611" s="13">
        <v>23.6</v>
      </c>
      <c r="K611" s="15" t="s">
        <v>9</v>
      </c>
      <c r="L611" s="20">
        <v>100</v>
      </c>
      <c r="M611" s="6"/>
      <c r="N611" s="13">
        <v>1010.6</v>
      </c>
      <c r="O611" s="8">
        <v>85</v>
      </c>
      <c r="P611" s="8">
        <v>57</v>
      </c>
      <c r="Q611" s="8">
        <v>73</v>
      </c>
      <c r="R611" s="8">
        <v>73</v>
      </c>
      <c r="S611" s="20">
        <v>4</v>
      </c>
      <c r="T611" s="6" t="s">
        <v>6</v>
      </c>
      <c r="U611" s="20">
        <v>9</v>
      </c>
      <c r="V611" s="12" t="s">
        <v>7</v>
      </c>
    </row>
    <row r="612" spans="1:22" s="53" customFormat="1" x14ac:dyDescent="0.35">
      <c r="A612" s="2">
        <v>43284</v>
      </c>
      <c r="B612" s="3">
        <f t="shared" si="33"/>
        <v>2018</v>
      </c>
      <c r="C612" s="3">
        <f t="shared" si="34"/>
        <v>7</v>
      </c>
      <c r="D612" s="3">
        <f t="shared" si="35"/>
        <v>3</v>
      </c>
      <c r="E612" s="36">
        <v>24.2</v>
      </c>
      <c r="F612" s="36">
        <v>31.2</v>
      </c>
      <c r="G612" s="36">
        <v>29</v>
      </c>
      <c r="H612" s="34">
        <v>27.7</v>
      </c>
      <c r="I612" s="13">
        <v>32</v>
      </c>
      <c r="J612" s="13">
        <v>24.2</v>
      </c>
      <c r="K612" s="15" t="s">
        <v>9</v>
      </c>
      <c r="L612" s="20">
        <v>69</v>
      </c>
      <c r="M612" s="6"/>
      <c r="N612" s="13">
        <v>1010.5</v>
      </c>
      <c r="O612" s="8">
        <v>77</v>
      </c>
      <c r="P612" s="8">
        <v>47</v>
      </c>
      <c r="Q612" s="8">
        <v>66</v>
      </c>
      <c r="R612" s="8">
        <v>65</v>
      </c>
      <c r="S612" s="20">
        <v>4</v>
      </c>
      <c r="T612" s="6" t="s">
        <v>6</v>
      </c>
      <c r="U612" s="20">
        <v>10</v>
      </c>
      <c r="V612" s="12" t="s">
        <v>7</v>
      </c>
    </row>
    <row r="613" spans="1:22" s="53" customFormat="1" x14ac:dyDescent="0.35">
      <c r="A613" s="2">
        <v>43285</v>
      </c>
      <c r="B613" s="3">
        <f t="shared" si="33"/>
        <v>2018</v>
      </c>
      <c r="C613" s="3">
        <f t="shared" si="34"/>
        <v>7</v>
      </c>
      <c r="D613" s="3">
        <f t="shared" si="35"/>
        <v>4</v>
      </c>
      <c r="E613" s="36">
        <v>26.2</v>
      </c>
      <c r="F613" s="36">
        <v>32</v>
      </c>
      <c r="G613" s="36">
        <v>28.8</v>
      </c>
      <c r="H613" s="34">
        <v>28</v>
      </c>
      <c r="I613" s="13">
        <v>33</v>
      </c>
      <c r="J613" s="13">
        <v>25</v>
      </c>
      <c r="K613" s="15" t="s">
        <v>9</v>
      </c>
      <c r="L613" s="20">
        <v>88</v>
      </c>
      <c r="M613" s="6" t="s">
        <v>11</v>
      </c>
      <c r="N613" s="13">
        <v>1010</v>
      </c>
      <c r="O613" s="8">
        <v>72</v>
      </c>
      <c r="P613" s="8">
        <v>52</v>
      </c>
      <c r="Q613" s="8">
        <v>70</v>
      </c>
      <c r="R613" s="8">
        <v>62</v>
      </c>
      <c r="S613" s="20">
        <v>5</v>
      </c>
      <c r="T613" s="6" t="s">
        <v>6</v>
      </c>
      <c r="U613" s="20">
        <v>10</v>
      </c>
      <c r="V613" s="12" t="s">
        <v>3</v>
      </c>
    </row>
    <row r="614" spans="1:22" s="53" customFormat="1" x14ac:dyDescent="0.35">
      <c r="A614" s="2">
        <v>43286</v>
      </c>
      <c r="B614" s="3">
        <f t="shared" si="33"/>
        <v>2018</v>
      </c>
      <c r="C614" s="3">
        <f t="shared" si="34"/>
        <v>7</v>
      </c>
      <c r="D614" s="3">
        <f t="shared" si="35"/>
        <v>5</v>
      </c>
      <c r="E614" s="36">
        <v>25.5</v>
      </c>
      <c r="F614" s="36">
        <v>30</v>
      </c>
      <c r="G614" s="36">
        <v>28.4</v>
      </c>
      <c r="H614" s="34">
        <v>26.7</v>
      </c>
      <c r="I614" s="13">
        <v>31.4</v>
      </c>
      <c r="J614" s="13">
        <v>22.3</v>
      </c>
      <c r="K614" s="19">
        <v>0</v>
      </c>
      <c r="L614" s="20">
        <v>100</v>
      </c>
      <c r="M614" s="6"/>
      <c r="N614" s="13">
        <v>1010.8</v>
      </c>
      <c r="O614" s="8">
        <v>65</v>
      </c>
      <c r="P614" s="8">
        <v>59</v>
      </c>
      <c r="Q614" s="8">
        <v>47</v>
      </c>
      <c r="R614" s="8">
        <v>58</v>
      </c>
      <c r="S614" s="20">
        <v>7</v>
      </c>
      <c r="T614" s="6" t="s">
        <v>6</v>
      </c>
      <c r="U614" s="20">
        <v>10</v>
      </c>
      <c r="V614" s="12" t="s">
        <v>6</v>
      </c>
    </row>
    <row r="615" spans="1:22" s="53" customFormat="1" x14ac:dyDescent="0.35">
      <c r="A615" s="2">
        <v>43287</v>
      </c>
      <c r="B615" s="3">
        <f t="shared" si="33"/>
        <v>2018</v>
      </c>
      <c r="C615" s="3">
        <f t="shared" si="34"/>
        <v>7</v>
      </c>
      <c r="D615" s="3">
        <f t="shared" si="35"/>
        <v>6</v>
      </c>
      <c r="E615" s="36">
        <v>23.6</v>
      </c>
      <c r="F615" s="36">
        <v>30.8</v>
      </c>
      <c r="G615" s="36">
        <v>28</v>
      </c>
      <c r="H615" s="34">
        <v>26.8</v>
      </c>
      <c r="I615" s="13">
        <v>31.2</v>
      </c>
      <c r="J615" s="13">
        <v>23.6</v>
      </c>
      <c r="K615" s="15" t="s">
        <v>9</v>
      </c>
      <c r="L615" s="20">
        <v>100</v>
      </c>
      <c r="M615" s="6"/>
      <c r="N615" s="13">
        <v>1010</v>
      </c>
      <c r="O615" s="8">
        <v>67</v>
      </c>
      <c r="P615" s="8">
        <v>50</v>
      </c>
      <c r="Q615" s="8">
        <v>64</v>
      </c>
      <c r="R615" s="8">
        <v>63</v>
      </c>
      <c r="S615" s="20">
        <v>5</v>
      </c>
      <c r="T615" s="6" t="s">
        <v>6</v>
      </c>
      <c r="U615" s="20">
        <v>10</v>
      </c>
      <c r="V615" s="12" t="s">
        <v>3</v>
      </c>
    </row>
    <row r="616" spans="1:22" s="53" customFormat="1" x14ac:dyDescent="0.35">
      <c r="A616" s="2">
        <v>43288</v>
      </c>
      <c r="B616" s="3">
        <f t="shared" si="33"/>
        <v>2018</v>
      </c>
      <c r="C616" s="3">
        <f t="shared" si="34"/>
        <v>7</v>
      </c>
      <c r="D616" s="3">
        <f t="shared" si="35"/>
        <v>7</v>
      </c>
      <c r="E616" s="36">
        <v>25</v>
      </c>
      <c r="F616" s="36">
        <v>31</v>
      </c>
      <c r="G616" s="36">
        <v>28.8</v>
      </c>
      <c r="H616" s="34">
        <v>27.3</v>
      </c>
      <c r="I616" s="13">
        <v>31.6</v>
      </c>
      <c r="J616" s="13">
        <v>23.5</v>
      </c>
      <c r="K616" s="15" t="s">
        <v>9</v>
      </c>
      <c r="L616" s="20">
        <v>100</v>
      </c>
      <c r="M616" s="6"/>
      <c r="N616" s="13">
        <v>1009.3</v>
      </c>
      <c r="O616" s="8">
        <v>68</v>
      </c>
      <c r="P616" s="8">
        <v>52</v>
      </c>
      <c r="Q616" s="8">
        <v>58</v>
      </c>
      <c r="R616" s="8">
        <v>64</v>
      </c>
      <c r="S616" s="20">
        <v>4</v>
      </c>
      <c r="T616" s="6" t="s">
        <v>6</v>
      </c>
      <c r="U616" s="20">
        <v>10</v>
      </c>
      <c r="V616" s="12" t="s">
        <v>3</v>
      </c>
    </row>
    <row r="617" spans="1:22" s="53" customFormat="1" x14ac:dyDescent="0.35">
      <c r="A617" s="2">
        <v>43289</v>
      </c>
      <c r="B617" s="3">
        <f t="shared" si="33"/>
        <v>2018</v>
      </c>
      <c r="C617" s="3">
        <f t="shared" si="34"/>
        <v>7</v>
      </c>
      <c r="D617" s="3">
        <f t="shared" si="35"/>
        <v>8</v>
      </c>
      <c r="E617" s="36">
        <v>25</v>
      </c>
      <c r="F617" s="36">
        <v>30.7</v>
      </c>
      <c r="G617" s="36">
        <v>28.4</v>
      </c>
      <c r="H617" s="34">
        <v>27.6</v>
      </c>
      <c r="I617" s="13">
        <v>31.6</v>
      </c>
      <c r="J617" s="13">
        <v>24</v>
      </c>
      <c r="K617" s="15" t="s">
        <v>9</v>
      </c>
      <c r="L617" s="20">
        <v>100</v>
      </c>
      <c r="M617" s="6"/>
      <c r="N617" s="13">
        <v>1009.3</v>
      </c>
      <c r="O617" s="8">
        <v>73</v>
      </c>
      <c r="P617" s="8">
        <v>54</v>
      </c>
      <c r="Q617" s="8">
        <v>72</v>
      </c>
      <c r="R617" s="8">
        <v>66</v>
      </c>
      <c r="S617" s="20">
        <v>5</v>
      </c>
      <c r="T617" s="6" t="s">
        <v>6</v>
      </c>
      <c r="U617" s="20">
        <v>12</v>
      </c>
      <c r="V617" s="12" t="s">
        <v>3</v>
      </c>
    </row>
    <row r="618" spans="1:22" s="53" customFormat="1" x14ac:dyDescent="0.35">
      <c r="A618" s="2">
        <v>43290</v>
      </c>
      <c r="B618" s="3">
        <f t="shared" si="33"/>
        <v>2018</v>
      </c>
      <c r="C618" s="3">
        <f t="shared" si="34"/>
        <v>7</v>
      </c>
      <c r="D618" s="3">
        <f t="shared" si="35"/>
        <v>9</v>
      </c>
      <c r="E618" s="36">
        <v>25.4</v>
      </c>
      <c r="F618" s="36">
        <v>30</v>
      </c>
      <c r="G618" s="36">
        <v>28.4</v>
      </c>
      <c r="H618" s="34">
        <v>27.2</v>
      </c>
      <c r="I618" s="13">
        <v>31.2</v>
      </c>
      <c r="J618" s="13">
        <v>23</v>
      </c>
      <c r="K618" s="15" t="s">
        <v>9</v>
      </c>
      <c r="L618" s="20">
        <v>100</v>
      </c>
      <c r="M618" s="6"/>
      <c r="N618" s="13">
        <v>1010.2</v>
      </c>
      <c r="O618" s="8">
        <v>67</v>
      </c>
      <c r="P618" s="8">
        <v>60</v>
      </c>
      <c r="Q618" s="8">
        <v>67</v>
      </c>
      <c r="R618" s="8">
        <v>68</v>
      </c>
      <c r="S618" s="20">
        <v>6</v>
      </c>
      <c r="T618" s="6" t="s">
        <v>6</v>
      </c>
      <c r="U618" s="20">
        <v>14</v>
      </c>
      <c r="V618" s="12" t="s">
        <v>6</v>
      </c>
    </row>
    <row r="619" spans="1:22" s="53" customFormat="1" x14ac:dyDescent="0.35">
      <c r="A619" s="2">
        <v>43291</v>
      </c>
      <c r="B619" s="3">
        <f t="shared" si="33"/>
        <v>2018</v>
      </c>
      <c r="C619" s="3">
        <f t="shared" si="34"/>
        <v>7</v>
      </c>
      <c r="D619" s="3">
        <f t="shared" si="35"/>
        <v>10</v>
      </c>
      <c r="E619" s="36">
        <v>25</v>
      </c>
      <c r="F619" s="36">
        <v>31.6</v>
      </c>
      <c r="G619" s="36">
        <v>28.6</v>
      </c>
      <c r="H619" s="34">
        <v>27.4</v>
      </c>
      <c r="I619" s="13">
        <v>32</v>
      </c>
      <c r="J619" s="13">
        <v>23.6</v>
      </c>
      <c r="K619" s="15" t="s">
        <v>9</v>
      </c>
      <c r="L619" s="22">
        <v>95</v>
      </c>
      <c r="M619" s="6"/>
      <c r="N619" s="13">
        <v>1010</v>
      </c>
      <c r="O619" s="8">
        <v>71</v>
      </c>
      <c r="P619" s="8">
        <v>56</v>
      </c>
      <c r="Q619" s="8">
        <v>68</v>
      </c>
      <c r="R619" s="8">
        <v>66</v>
      </c>
      <c r="S619" s="20">
        <v>5</v>
      </c>
      <c r="T619" s="6" t="s">
        <v>6</v>
      </c>
      <c r="U619" s="20">
        <v>9</v>
      </c>
      <c r="V619" s="12" t="s">
        <v>3</v>
      </c>
    </row>
    <row r="620" spans="1:22" s="53" customFormat="1" x14ac:dyDescent="0.35">
      <c r="A620" s="2">
        <v>43292</v>
      </c>
      <c r="B620" s="3">
        <f t="shared" si="33"/>
        <v>2018</v>
      </c>
      <c r="C620" s="3">
        <f t="shared" si="34"/>
        <v>7</v>
      </c>
      <c r="D620" s="3">
        <f t="shared" si="35"/>
        <v>11</v>
      </c>
      <c r="E620" s="36">
        <v>24.4</v>
      </c>
      <c r="F620" s="36">
        <v>32.200000000000003</v>
      </c>
      <c r="G620" s="36">
        <v>27.6</v>
      </c>
      <c r="H620" s="34">
        <v>26.6</v>
      </c>
      <c r="I620" s="13">
        <v>32.6</v>
      </c>
      <c r="J620" s="13">
        <v>22.8</v>
      </c>
      <c r="K620" s="15" t="s">
        <v>9</v>
      </c>
      <c r="L620" s="20">
        <v>83</v>
      </c>
      <c r="M620" s="6" t="s">
        <v>11</v>
      </c>
      <c r="N620" s="13">
        <v>1011</v>
      </c>
      <c r="O620" s="8">
        <v>68</v>
      </c>
      <c r="P620" s="8">
        <v>43</v>
      </c>
      <c r="Q620" s="8">
        <v>72</v>
      </c>
      <c r="R620" s="8">
        <v>69</v>
      </c>
      <c r="S620" s="20">
        <v>5</v>
      </c>
      <c r="T620" s="6" t="s">
        <v>6</v>
      </c>
      <c r="U620" s="20">
        <v>11</v>
      </c>
      <c r="V620" s="12" t="s">
        <v>4</v>
      </c>
    </row>
    <row r="621" spans="1:22" s="53" customFormat="1" x14ac:dyDescent="0.35">
      <c r="A621" s="2">
        <v>43293</v>
      </c>
      <c r="B621" s="3">
        <f t="shared" si="33"/>
        <v>2018</v>
      </c>
      <c r="C621" s="3">
        <f t="shared" si="34"/>
        <v>7</v>
      </c>
      <c r="D621" s="3">
        <f t="shared" si="35"/>
        <v>12</v>
      </c>
      <c r="E621" s="36">
        <v>24.2</v>
      </c>
      <c r="F621" s="36">
        <v>30.6</v>
      </c>
      <c r="G621" s="36">
        <v>27.6</v>
      </c>
      <c r="H621" s="34">
        <v>27</v>
      </c>
      <c r="I621" s="13">
        <v>31.2</v>
      </c>
      <c r="J621" s="13">
        <v>23</v>
      </c>
      <c r="K621" s="19">
        <v>7</v>
      </c>
      <c r="L621" s="22">
        <v>100</v>
      </c>
      <c r="M621" s="6"/>
      <c r="N621" s="13">
        <v>1009.8</v>
      </c>
      <c r="O621" s="8">
        <v>77</v>
      </c>
      <c r="P621" s="8">
        <v>53</v>
      </c>
      <c r="Q621" s="8">
        <v>70</v>
      </c>
      <c r="R621" s="8">
        <v>66</v>
      </c>
      <c r="S621" s="20">
        <v>4</v>
      </c>
      <c r="T621" s="6" t="s">
        <v>6</v>
      </c>
      <c r="U621" s="20">
        <v>10</v>
      </c>
      <c r="V621" s="12" t="s">
        <v>7</v>
      </c>
    </row>
    <row r="622" spans="1:22" s="53" customFormat="1" x14ac:dyDescent="0.35">
      <c r="A622" s="2">
        <v>43294</v>
      </c>
      <c r="B622" s="3">
        <f t="shared" si="33"/>
        <v>2018</v>
      </c>
      <c r="C622" s="3">
        <f t="shared" si="34"/>
        <v>7</v>
      </c>
      <c r="D622" s="3">
        <f t="shared" si="35"/>
        <v>13</v>
      </c>
      <c r="E622" s="36">
        <v>24</v>
      </c>
      <c r="F622" s="36">
        <v>31.7</v>
      </c>
      <c r="G622" s="36">
        <v>27.6</v>
      </c>
      <c r="H622" s="34">
        <v>26.8</v>
      </c>
      <c r="I622" s="13">
        <v>31.8</v>
      </c>
      <c r="J622" s="13">
        <v>22.8</v>
      </c>
      <c r="K622" s="15" t="s">
        <v>9</v>
      </c>
      <c r="L622" s="20">
        <v>95</v>
      </c>
      <c r="M622" s="6"/>
      <c r="N622" s="13">
        <v>1009.3</v>
      </c>
      <c r="O622" s="8">
        <v>72</v>
      </c>
      <c r="P622" s="8">
        <v>52</v>
      </c>
      <c r="Q622" s="8">
        <v>70</v>
      </c>
      <c r="R622" s="8">
        <v>68</v>
      </c>
      <c r="S622" s="20">
        <v>5</v>
      </c>
      <c r="T622" s="6" t="s">
        <v>6</v>
      </c>
      <c r="U622" s="20">
        <v>12</v>
      </c>
      <c r="V622" s="12" t="s">
        <v>7</v>
      </c>
    </row>
    <row r="623" spans="1:22" s="53" customFormat="1" x14ac:dyDescent="0.35">
      <c r="A623" s="2">
        <v>43295</v>
      </c>
      <c r="B623" s="3">
        <f t="shared" si="33"/>
        <v>2018</v>
      </c>
      <c r="C623" s="3">
        <f t="shared" si="34"/>
        <v>7</v>
      </c>
      <c r="D623" s="3">
        <f t="shared" si="35"/>
        <v>14</v>
      </c>
      <c r="E623" s="36">
        <v>24.7</v>
      </c>
      <c r="F623" s="36">
        <v>30.4</v>
      </c>
      <c r="G623" s="36">
        <v>27.6</v>
      </c>
      <c r="H623" s="34">
        <v>26.9</v>
      </c>
      <c r="I623" s="13">
        <v>30.6</v>
      </c>
      <c r="J623" s="13">
        <v>24</v>
      </c>
      <c r="K623" s="15" t="s">
        <v>9</v>
      </c>
      <c r="L623" s="20">
        <v>95</v>
      </c>
      <c r="M623" s="6"/>
      <c r="N623" s="13">
        <v>1009.2</v>
      </c>
      <c r="O623" s="8">
        <v>68</v>
      </c>
      <c r="P623" s="8">
        <v>55</v>
      </c>
      <c r="Q623" s="8">
        <v>72</v>
      </c>
      <c r="R623" s="8">
        <v>64</v>
      </c>
      <c r="S623" s="20">
        <v>7</v>
      </c>
      <c r="T623" s="6" t="s">
        <v>6</v>
      </c>
      <c r="U623" s="20">
        <v>11</v>
      </c>
      <c r="V623" s="12" t="s">
        <v>8</v>
      </c>
    </row>
    <row r="624" spans="1:22" s="53" customFormat="1" x14ac:dyDescent="0.35">
      <c r="A624" s="2">
        <v>43296</v>
      </c>
      <c r="B624" s="3">
        <f t="shared" si="33"/>
        <v>2018</v>
      </c>
      <c r="C624" s="3">
        <f t="shared" si="34"/>
        <v>7</v>
      </c>
      <c r="D624" s="3">
        <f t="shared" si="35"/>
        <v>15</v>
      </c>
      <c r="E624" s="36">
        <v>24.8</v>
      </c>
      <c r="F624" s="36">
        <v>31.4</v>
      </c>
      <c r="G624" s="36">
        <v>28.2</v>
      </c>
      <c r="H624" s="34">
        <v>26.5</v>
      </c>
      <c r="I624" s="13">
        <v>32.4</v>
      </c>
      <c r="J624" s="13">
        <v>22.2</v>
      </c>
      <c r="K624" s="92" t="s">
        <v>9</v>
      </c>
      <c r="L624" s="20">
        <v>86</v>
      </c>
      <c r="M624" s="6"/>
      <c r="N624" s="13">
        <v>1010.2</v>
      </c>
      <c r="O624" s="8">
        <v>65</v>
      </c>
      <c r="P624" s="8">
        <v>43</v>
      </c>
      <c r="Q624" s="8">
        <v>63</v>
      </c>
      <c r="R624" s="8">
        <v>59</v>
      </c>
      <c r="S624" s="20">
        <v>5</v>
      </c>
      <c r="T624" s="6" t="s">
        <v>6</v>
      </c>
      <c r="U624" s="20">
        <v>9</v>
      </c>
      <c r="V624" s="12" t="s">
        <v>6</v>
      </c>
    </row>
    <row r="625" spans="1:22" s="53" customFormat="1" x14ac:dyDescent="0.35">
      <c r="A625" s="2">
        <v>43297</v>
      </c>
      <c r="B625" s="3">
        <f t="shared" si="33"/>
        <v>2018</v>
      </c>
      <c r="C625" s="3">
        <f t="shared" si="34"/>
        <v>7</v>
      </c>
      <c r="D625" s="3">
        <f t="shared" si="35"/>
        <v>16</v>
      </c>
      <c r="E625" s="36">
        <v>24</v>
      </c>
      <c r="F625" s="36">
        <v>30.8</v>
      </c>
      <c r="G625" s="36">
        <v>27.6</v>
      </c>
      <c r="H625" s="34">
        <v>26.7</v>
      </c>
      <c r="I625" s="13">
        <v>31</v>
      </c>
      <c r="J625" s="13">
        <v>22.8</v>
      </c>
      <c r="K625" s="15" t="s">
        <v>9</v>
      </c>
      <c r="L625" s="20">
        <v>100</v>
      </c>
      <c r="M625" s="6" t="s">
        <v>11</v>
      </c>
      <c r="N625" s="13">
        <v>1009.7</v>
      </c>
      <c r="O625" s="8">
        <v>66</v>
      </c>
      <c r="P625" s="8">
        <v>53</v>
      </c>
      <c r="Q625" s="8">
        <v>73</v>
      </c>
      <c r="R625" s="8">
        <v>70</v>
      </c>
      <c r="S625" s="20">
        <v>5</v>
      </c>
      <c r="T625" s="6" t="s">
        <v>7</v>
      </c>
      <c r="U625" s="20">
        <v>12</v>
      </c>
      <c r="V625" s="12" t="s">
        <v>3</v>
      </c>
    </row>
    <row r="626" spans="1:22" s="53" customFormat="1" x14ac:dyDescent="0.35">
      <c r="A626" s="2">
        <v>43298</v>
      </c>
      <c r="B626" s="3">
        <f t="shared" si="33"/>
        <v>2018</v>
      </c>
      <c r="C626" s="3">
        <f t="shared" si="34"/>
        <v>7</v>
      </c>
      <c r="D626" s="3">
        <f t="shared" si="35"/>
        <v>17</v>
      </c>
      <c r="E626" s="36">
        <v>23.8</v>
      </c>
      <c r="F626" s="36">
        <v>30.2</v>
      </c>
      <c r="G626" s="36">
        <v>27.6</v>
      </c>
      <c r="H626" s="34">
        <v>27.1</v>
      </c>
      <c r="I626" s="13">
        <v>31</v>
      </c>
      <c r="J626" s="13">
        <v>23.4</v>
      </c>
      <c r="K626" s="19">
        <v>1.2</v>
      </c>
      <c r="L626" s="20">
        <v>100</v>
      </c>
      <c r="M626" s="6"/>
      <c r="N626" s="13">
        <v>1008.4</v>
      </c>
      <c r="O626" s="8">
        <v>80</v>
      </c>
      <c r="P626" s="8">
        <v>59</v>
      </c>
      <c r="Q626" s="8">
        <v>76</v>
      </c>
      <c r="R626" s="8">
        <v>72</v>
      </c>
      <c r="S626" s="20">
        <v>5</v>
      </c>
      <c r="T626" s="6" t="s">
        <v>7</v>
      </c>
      <c r="U626" s="20">
        <v>9</v>
      </c>
      <c r="V626" s="12" t="s">
        <v>3</v>
      </c>
    </row>
    <row r="627" spans="1:22" s="53" customFormat="1" x14ac:dyDescent="0.35">
      <c r="A627" s="2">
        <v>43299</v>
      </c>
      <c r="B627" s="3">
        <f t="shared" si="33"/>
        <v>2018</v>
      </c>
      <c r="C627" s="3">
        <f t="shared" si="34"/>
        <v>7</v>
      </c>
      <c r="D627" s="3">
        <f t="shared" si="35"/>
        <v>18</v>
      </c>
      <c r="E627" s="36">
        <v>24.6</v>
      </c>
      <c r="F627" s="36">
        <v>30.6</v>
      </c>
      <c r="G627" s="36">
        <v>27.8</v>
      </c>
      <c r="H627" s="34">
        <v>27.3</v>
      </c>
      <c r="I627" s="13">
        <v>31.8</v>
      </c>
      <c r="J627" s="13">
        <v>23</v>
      </c>
      <c r="K627" s="15" t="s">
        <v>9</v>
      </c>
      <c r="L627" s="20">
        <v>100</v>
      </c>
      <c r="M627" s="6"/>
      <c r="N627" s="13">
        <v>1009.4</v>
      </c>
      <c r="O627" s="8">
        <v>77</v>
      </c>
      <c r="P627" s="8">
        <v>62</v>
      </c>
      <c r="Q627" s="8">
        <v>79</v>
      </c>
      <c r="R627" s="8">
        <v>74</v>
      </c>
      <c r="S627" s="20">
        <v>5</v>
      </c>
      <c r="T627" s="6" t="s">
        <v>7</v>
      </c>
      <c r="U627" s="20">
        <v>12</v>
      </c>
      <c r="V627" s="12" t="s">
        <v>7</v>
      </c>
    </row>
    <row r="628" spans="1:22" s="53" customFormat="1" x14ac:dyDescent="0.35">
      <c r="A628" s="2">
        <v>43300</v>
      </c>
      <c r="B628" s="3">
        <f t="shared" si="33"/>
        <v>2018</v>
      </c>
      <c r="C628" s="3">
        <f t="shared" si="34"/>
        <v>7</v>
      </c>
      <c r="D628" s="3">
        <f t="shared" si="35"/>
        <v>19</v>
      </c>
      <c r="E628" s="36">
        <v>24.6</v>
      </c>
      <c r="F628" s="36">
        <v>30.6</v>
      </c>
      <c r="G628" s="36">
        <v>28</v>
      </c>
      <c r="H628" s="34">
        <v>27.1</v>
      </c>
      <c r="I628" s="13">
        <v>31</v>
      </c>
      <c r="J628" s="13">
        <v>23</v>
      </c>
      <c r="K628" s="15" t="s">
        <v>9</v>
      </c>
      <c r="L628" s="20">
        <v>100</v>
      </c>
      <c r="M628" s="6" t="s">
        <v>11</v>
      </c>
      <c r="N628" s="13">
        <v>1010.4</v>
      </c>
      <c r="O628" s="8">
        <v>79</v>
      </c>
      <c r="P628" s="8">
        <v>64</v>
      </c>
      <c r="Q628" s="8">
        <v>75</v>
      </c>
      <c r="R628" s="8">
        <v>74</v>
      </c>
      <c r="S628" s="20">
        <v>6</v>
      </c>
      <c r="T628" s="6" t="s">
        <v>6</v>
      </c>
      <c r="U628" s="20">
        <v>10</v>
      </c>
      <c r="V628" s="12" t="s">
        <v>3</v>
      </c>
    </row>
    <row r="629" spans="1:22" s="53" customFormat="1" x14ac:dyDescent="0.35">
      <c r="A629" s="2">
        <v>43301</v>
      </c>
      <c r="B629" s="3">
        <f t="shared" si="33"/>
        <v>2018</v>
      </c>
      <c r="C629" s="3">
        <f t="shared" si="34"/>
        <v>7</v>
      </c>
      <c r="D629" s="3">
        <f t="shared" si="35"/>
        <v>20</v>
      </c>
      <c r="E629" s="36">
        <v>24.6</v>
      </c>
      <c r="F629" s="36">
        <v>30.5</v>
      </c>
      <c r="G629" s="36">
        <v>28</v>
      </c>
      <c r="H629" s="34">
        <v>27.3</v>
      </c>
      <c r="I629" s="13">
        <v>31</v>
      </c>
      <c r="J629" s="13">
        <v>23.8</v>
      </c>
      <c r="K629" s="19">
        <v>0</v>
      </c>
      <c r="L629" s="20">
        <v>113</v>
      </c>
      <c r="M629" s="6"/>
      <c r="N629" s="13">
        <v>1009.9</v>
      </c>
      <c r="O629" s="8">
        <v>79</v>
      </c>
      <c r="P629" s="8">
        <v>63</v>
      </c>
      <c r="Q629" s="8">
        <v>76</v>
      </c>
      <c r="R629" s="8">
        <v>73</v>
      </c>
      <c r="S629" s="20">
        <v>5</v>
      </c>
      <c r="T629" s="6" t="s">
        <v>3</v>
      </c>
      <c r="U629" s="20">
        <v>11</v>
      </c>
      <c r="V629" s="12" t="s">
        <v>7</v>
      </c>
    </row>
    <row r="630" spans="1:22" s="53" customFormat="1" x14ac:dyDescent="0.35">
      <c r="A630" s="2">
        <v>43302</v>
      </c>
      <c r="B630" s="3">
        <f t="shared" si="33"/>
        <v>2018</v>
      </c>
      <c r="C630" s="3">
        <f t="shared" si="34"/>
        <v>7</v>
      </c>
      <c r="D630" s="3">
        <f t="shared" si="35"/>
        <v>21</v>
      </c>
      <c r="E630" s="36">
        <v>25</v>
      </c>
      <c r="F630" s="36">
        <v>32</v>
      </c>
      <c r="G630" s="36">
        <v>28</v>
      </c>
      <c r="H630" s="34">
        <v>27.9</v>
      </c>
      <c r="I630" s="13">
        <v>32.4</v>
      </c>
      <c r="J630" s="13">
        <v>24.6</v>
      </c>
      <c r="K630" s="15" t="s">
        <v>9</v>
      </c>
      <c r="L630" s="20">
        <v>99</v>
      </c>
      <c r="M630" s="6"/>
      <c r="N630" s="13">
        <v>1010.8</v>
      </c>
      <c r="O630" s="8">
        <v>76</v>
      </c>
      <c r="P630" s="8">
        <v>52</v>
      </c>
      <c r="Q630" s="8">
        <v>76</v>
      </c>
      <c r="R630" s="8">
        <v>70</v>
      </c>
      <c r="S630" s="20">
        <v>4</v>
      </c>
      <c r="T630" s="6" t="s">
        <v>6</v>
      </c>
      <c r="U630" s="20">
        <v>9</v>
      </c>
      <c r="V630" s="12" t="s">
        <v>8</v>
      </c>
    </row>
    <row r="631" spans="1:22" s="53" customFormat="1" x14ac:dyDescent="0.35">
      <c r="A631" s="2">
        <v>43303</v>
      </c>
      <c r="B631" s="3">
        <f t="shared" si="33"/>
        <v>2018</v>
      </c>
      <c r="C631" s="3">
        <f t="shared" si="34"/>
        <v>7</v>
      </c>
      <c r="D631" s="3">
        <f t="shared" si="35"/>
        <v>22</v>
      </c>
      <c r="E631" s="36">
        <v>26</v>
      </c>
      <c r="F631" s="36">
        <v>32.4</v>
      </c>
      <c r="G631" s="36">
        <v>28.6</v>
      </c>
      <c r="H631" s="34">
        <v>28.3</v>
      </c>
      <c r="I631" s="13">
        <v>33</v>
      </c>
      <c r="J631" s="13">
        <v>24</v>
      </c>
      <c r="K631" s="15" t="s">
        <v>9</v>
      </c>
      <c r="L631" s="20">
        <v>96</v>
      </c>
      <c r="M631" s="6"/>
      <c r="N631" s="13">
        <v>1011.7</v>
      </c>
      <c r="O631" s="8">
        <v>71</v>
      </c>
      <c r="P631" s="8">
        <v>52</v>
      </c>
      <c r="Q631" s="8">
        <v>72</v>
      </c>
      <c r="R631" s="8">
        <v>69</v>
      </c>
      <c r="S631" s="20">
        <v>5</v>
      </c>
      <c r="T631" s="6" t="s">
        <v>6</v>
      </c>
      <c r="U631" s="20">
        <v>12</v>
      </c>
      <c r="V631" s="12" t="s">
        <v>2</v>
      </c>
    </row>
    <row r="632" spans="1:22" s="53" customFormat="1" x14ac:dyDescent="0.35">
      <c r="A632" s="2">
        <v>43304</v>
      </c>
      <c r="B632" s="3">
        <f t="shared" si="33"/>
        <v>2018</v>
      </c>
      <c r="C632" s="3">
        <f t="shared" si="34"/>
        <v>7</v>
      </c>
      <c r="D632" s="3">
        <f t="shared" si="35"/>
        <v>23</v>
      </c>
      <c r="E632" s="36">
        <v>26</v>
      </c>
      <c r="F632" s="36">
        <v>31</v>
      </c>
      <c r="G632" s="36">
        <v>28.1</v>
      </c>
      <c r="H632" s="34">
        <v>27.7</v>
      </c>
      <c r="I632" s="13">
        <v>31.8</v>
      </c>
      <c r="J632" s="13">
        <v>23</v>
      </c>
      <c r="K632" s="15" t="s">
        <v>9</v>
      </c>
      <c r="L632" s="20">
        <v>100</v>
      </c>
      <c r="M632" s="6" t="s">
        <v>11</v>
      </c>
      <c r="N632" s="13">
        <v>1010.8</v>
      </c>
      <c r="O632" s="8">
        <v>76</v>
      </c>
      <c r="P632" s="8">
        <v>66</v>
      </c>
      <c r="Q632" s="8">
        <v>80</v>
      </c>
      <c r="R632" s="8">
        <v>75</v>
      </c>
      <c r="S632" s="20">
        <v>5</v>
      </c>
      <c r="T632" s="6" t="s">
        <v>6</v>
      </c>
      <c r="U632" s="37">
        <v>12</v>
      </c>
      <c r="V632" s="33" t="s">
        <v>7</v>
      </c>
    </row>
    <row r="633" spans="1:22" s="53" customFormat="1" x14ac:dyDescent="0.35">
      <c r="A633" s="2">
        <v>43305</v>
      </c>
      <c r="B633" s="3">
        <f t="shared" si="33"/>
        <v>2018</v>
      </c>
      <c r="C633" s="3">
        <f t="shared" si="34"/>
        <v>7</v>
      </c>
      <c r="D633" s="3">
        <f t="shared" si="35"/>
        <v>24</v>
      </c>
      <c r="E633" s="36">
        <v>24.4</v>
      </c>
      <c r="F633" s="36">
        <v>31</v>
      </c>
      <c r="G633" s="36">
        <v>27.5</v>
      </c>
      <c r="H633" s="34">
        <v>27</v>
      </c>
      <c r="I633" s="13">
        <v>31.8</v>
      </c>
      <c r="J633" s="13">
        <v>22</v>
      </c>
      <c r="K633" s="19">
        <v>0</v>
      </c>
      <c r="L633" s="20">
        <v>100</v>
      </c>
      <c r="M633" s="6"/>
      <c r="N633" s="13">
        <v>1010.1</v>
      </c>
      <c r="O633" s="8">
        <v>79</v>
      </c>
      <c r="P633" s="8">
        <v>60</v>
      </c>
      <c r="Q633" s="8">
        <v>79</v>
      </c>
      <c r="R633" s="8">
        <v>75</v>
      </c>
      <c r="S633" s="20">
        <v>5</v>
      </c>
      <c r="T633" s="6" t="s">
        <v>3</v>
      </c>
      <c r="U633" s="20">
        <v>10</v>
      </c>
      <c r="V633" s="12" t="s">
        <v>7</v>
      </c>
    </row>
    <row r="634" spans="1:22" s="53" customFormat="1" x14ac:dyDescent="0.35">
      <c r="A634" s="2">
        <v>43306</v>
      </c>
      <c r="B634" s="3">
        <f t="shared" ref="B634:B672" si="36">YEAR(A634)</f>
        <v>2018</v>
      </c>
      <c r="C634" s="3">
        <f t="shared" ref="C634:C672" si="37">MONTH(A634)</f>
        <v>7</v>
      </c>
      <c r="D634" s="3">
        <f t="shared" ref="D634:D672" si="38">DAY(A634)</f>
        <v>25</v>
      </c>
      <c r="E634" s="36">
        <v>23.6</v>
      </c>
      <c r="F634" s="36">
        <v>31.2</v>
      </c>
      <c r="G634" s="36">
        <v>28</v>
      </c>
      <c r="H634" s="34">
        <v>26.4</v>
      </c>
      <c r="I634" s="13">
        <v>32</v>
      </c>
      <c r="J634" s="13">
        <v>21.9</v>
      </c>
      <c r="K634" s="15" t="s">
        <v>9</v>
      </c>
      <c r="L634" s="20">
        <v>100</v>
      </c>
      <c r="M634" s="6"/>
      <c r="N634" s="13">
        <v>1010.8</v>
      </c>
      <c r="O634" s="8">
        <v>83</v>
      </c>
      <c r="P634" s="8">
        <v>52</v>
      </c>
      <c r="Q634" s="8">
        <v>68</v>
      </c>
      <c r="R634" s="8">
        <v>71</v>
      </c>
      <c r="S634" s="20">
        <v>5</v>
      </c>
      <c r="T634" s="6" t="s">
        <v>3</v>
      </c>
      <c r="U634" s="20">
        <v>11</v>
      </c>
      <c r="V634" s="12" t="s">
        <v>7</v>
      </c>
    </row>
    <row r="635" spans="1:22" s="53" customFormat="1" x14ac:dyDescent="0.35">
      <c r="A635" s="2">
        <v>43307</v>
      </c>
      <c r="B635" s="3">
        <f t="shared" si="36"/>
        <v>2018</v>
      </c>
      <c r="C635" s="3">
        <f t="shared" si="37"/>
        <v>7</v>
      </c>
      <c r="D635" s="3">
        <f t="shared" si="38"/>
        <v>26</v>
      </c>
      <c r="E635" s="36">
        <v>23</v>
      </c>
      <c r="F635" s="36">
        <v>30.6</v>
      </c>
      <c r="G635" s="36">
        <v>27.6</v>
      </c>
      <c r="H635" s="34">
        <v>26.4</v>
      </c>
      <c r="I635" s="13">
        <v>31.2</v>
      </c>
      <c r="J635" s="13">
        <v>22.6</v>
      </c>
      <c r="K635" s="15" t="s">
        <v>9</v>
      </c>
      <c r="L635" s="20">
        <v>100</v>
      </c>
      <c r="M635" s="6"/>
      <c r="N635" s="13">
        <v>1011.4</v>
      </c>
      <c r="O635" s="8">
        <v>76</v>
      </c>
      <c r="P635" s="8">
        <v>57</v>
      </c>
      <c r="Q635" s="8">
        <v>74</v>
      </c>
      <c r="R635" s="8">
        <v>66</v>
      </c>
      <c r="S635" s="20">
        <v>6</v>
      </c>
      <c r="T635" s="6" t="s">
        <v>4</v>
      </c>
      <c r="U635" s="20">
        <v>13</v>
      </c>
      <c r="V635" s="12" t="s">
        <v>7</v>
      </c>
    </row>
    <row r="636" spans="1:22" s="53" customFormat="1" x14ac:dyDescent="0.35">
      <c r="A636" s="2">
        <v>43308</v>
      </c>
      <c r="B636" s="3">
        <f t="shared" si="36"/>
        <v>2018</v>
      </c>
      <c r="C636" s="3">
        <f t="shared" si="37"/>
        <v>7</v>
      </c>
      <c r="D636" s="3">
        <f t="shared" si="38"/>
        <v>27</v>
      </c>
      <c r="E636" s="36">
        <v>24.2</v>
      </c>
      <c r="F636" s="36">
        <v>31</v>
      </c>
      <c r="G636" s="36">
        <v>28</v>
      </c>
      <c r="H636" s="34">
        <v>27</v>
      </c>
      <c r="I636" s="13">
        <v>31.4</v>
      </c>
      <c r="J636" s="13">
        <v>23.6</v>
      </c>
      <c r="K636" s="15" t="s">
        <v>9</v>
      </c>
      <c r="L636" s="20">
        <v>100</v>
      </c>
      <c r="M636" s="6"/>
      <c r="N636" s="13">
        <v>1010.5</v>
      </c>
      <c r="O636" s="8">
        <v>71</v>
      </c>
      <c r="P636" s="8">
        <v>54</v>
      </c>
      <c r="Q636" s="8">
        <v>72</v>
      </c>
      <c r="R636" s="8">
        <v>66</v>
      </c>
      <c r="S636" s="20">
        <v>6</v>
      </c>
      <c r="T636" s="6" t="s">
        <v>6</v>
      </c>
      <c r="U636" s="20">
        <v>13</v>
      </c>
      <c r="V636" s="12" t="s">
        <v>7</v>
      </c>
    </row>
    <row r="637" spans="1:22" s="53" customFormat="1" x14ac:dyDescent="0.35">
      <c r="A637" s="2">
        <v>43309</v>
      </c>
      <c r="B637" s="3">
        <f t="shared" si="36"/>
        <v>2018</v>
      </c>
      <c r="C637" s="3">
        <f t="shared" si="37"/>
        <v>7</v>
      </c>
      <c r="D637" s="3">
        <f t="shared" si="38"/>
        <v>28</v>
      </c>
      <c r="E637" s="36">
        <v>24.8</v>
      </c>
      <c r="F637" s="36">
        <v>32.1</v>
      </c>
      <c r="G637" s="36">
        <v>28</v>
      </c>
      <c r="H637" s="34">
        <v>27.4</v>
      </c>
      <c r="I637" s="13">
        <v>32.5</v>
      </c>
      <c r="J637" s="13">
        <v>23.4</v>
      </c>
      <c r="K637" s="14" t="s">
        <v>9</v>
      </c>
      <c r="L637" s="20">
        <v>100</v>
      </c>
      <c r="M637" s="6"/>
      <c r="N637" s="13">
        <v>1010.1</v>
      </c>
      <c r="O637" s="8">
        <v>70</v>
      </c>
      <c r="P637" s="8">
        <v>47</v>
      </c>
      <c r="Q637" s="8">
        <v>68</v>
      </c>
      <c r="R637" s="8">
        <v>62</v>
      </c>
      <c r="S637" s="20">
        <v>6</v>
      </c>
      <c r="T637" s="6" t="s">
        <v>6</v>
      </c>
      <c r="U637" s="20">
        <v>12</v>
      </c>
      <c r="V637" s="12" t="s">
        <v>7</v>
      </c>
    </row>
    <row r="638" spans="1:22" s="53" customFormat="1" x14ac:dyDescent="0.35">
      <c r="A638" s="2">
        <v>43310</v>
      </c>
      <c r="B638" s="3">
        <f t="shared" si="36"/>
        <v>2018</v>
      </c>
      <c r="C638" s="3">
        <f t="shared" si="37"/>
        <v>7</v>
      </c>
      <c r="D638" s="3">
        <f t="shared" si="38"/>
        <v>29</v>
      </c>
      <c r="E638" s="36">
        <v>24.8</v>
      </c>
      <c r="F638" s="36">
        <v>31.4</v>
      </c>
      <c r="G638" s="36">
        <v>28.2</v>
      </c>
      <c r="H638" s="34">
        <v>27.7</v>
      </c>
      <c r="I638" s="13">
        <v>31.8</v>
      </c>
      <c r="J638" s="13">
        <v>24</v>
      </c>
      <c r="K638" s="15" t="s">
        <v>9</v>
      </c>
      <c r="L638" s="20">
        <v>0</v>
      </c>
      <c r="M638" s="6"/>
      <c r="N638" s="13">
        <v>1009.8</v>
      </c>
      <c r="O638" s="8">
        <v>66</v>
      </c>
      <c r="P638" s="8">
        <v>51</v>
      </c>
      <c r="Q638" s="8">
        <v>68</v>
      </c>
      <c r="R638" s="8">
        <v>66</v>
      </c>
      <c r="S638" s="20">
        <v>4</v>
      </c>
      <c r="T638" s="6" t="s">
        <v>6</v>
      </c>
      <c r="U638" s="20">
        <v>7</v>
      </c>
      <c r="V638" s="12" t="s">
        <v>7</v>
      </c>
    </row>
    <row r="639" spans="1:22" s="53" customFormat="1" x14ac:dyDescent="0.35">
      <c r="A639" s="2">
        <v>43311</v>
      </c>
      <c r="B639" s="3">
        <f t="shared" si="36"/>
        <v>2018</v>
      </c>
      <c r="C639" s="3">
        <f t="shared" si="37"/>
        <v>7</v>
      </c>
      <c r="D639" s="3">
        <f t="shared" si="38"/>
        <v>30</v>
      </c>
      <c r="E639" s="36">
        <v>25.2</v>
      </c>
      <c r="F639" s="36">
        <v>30.6</v>
      </c>
      <c r="G639" s="36">
        <v>27.8</v>
      </c>
      <c r="H639" s="34">
        <v>27.2</v>
      </c>
      <c r="I639" s="13">
        <v>31</v>
      </c>
      <c r="J639" s="13">
        <v>23.4</v>
      </c>
      <c r="K639" s="15" t="s">
        <v>9</v>
      </c>
      <c r="L639" s="20">
        <v>0</v>
      </c>
      <c r="M639" s="6"/>
      <c r="N639" s="13">
        <v>1010</v>
      </c>
      <c r="O639" s="8">
        <v>69</v>
      </c>
      <c r="P639" s="8">
        <v>62</v>
      </c>
      <c r="Q639" s="8">
        <v>76</v>
      </c>
      <c r="R639" s="8">
        <v>73</v>
      </c>
      <c r="S639" s="20">
        <v>5</v>
      </c>
      <c r="T639" s="6" t="s">
        <v>7</v>
      </c>
      <c r="U639" s="20">
        <v>0</v>
      </c>
      <c r="V639" s="20">
        <v>0</v>
      </c>
    </row>
    <row r="640" spans="1:22" s="53" customFormat="1" x14ac:dyDescent="0.35">
      <c r="A640" s="2">
        <v>43312</v>
      </c>
      <c r="B640" s="3">
        <f t="shared" si="36"/>
        <v>2018</v>
      </c>
      <c r="C640" s="3">
        <f t="shared" si="37"/>
        <v>7</v>
      </c>
      <c r="D640" s="3">
        <f t="shared" si="38"/>
        <v>31</v>
      </c>
      <c r="E640" s="36">
        <v>24.6</v>
      </c>
      <c r="F640" s="36">
        <v>30.8</v>
      </c>
      <c r="G640" s="36">
        <v>28.2</v>
      </c>
      <c r="H640" s="34">
        <v>27.5</v>
      </c>
      <c r="I640" s="13">
        <v>31.2</v>
      </c>
      <c r="J640" s="13">
        <v>24.2</v>
      </c>
      <c r="K640" s="15" t="s">
        <v>9</v>
      </c>
      <c r="L640" s="20">
        <v>0</v>
      </c>
      <c r="M640" s="6"/>
      <c r="N640" s="13">
        <v>1010.6</v>
      </c>
      <c r="O640" s="8">
        <v>79</v>
      </c>
      <c r="P640" s="8">
        <v>62</v>
      </c>
      <c r="Q640" s="8">
        <v>77</v>
      </c>
      <c r="R640" s="8">
        <v>71</v>
      </c>
      <c r="S640" s="20">
        <v>5</v>
      </c>
      <c r="T640" s="6" t="s">
        <v>7</v>
      </c>
      <c r="U640" s="20">
        <v>0</v>
      </c>
      <c r="V640" s="20">
        <v>0</v>
      </c>
    </row>
    <row r="641" spans="1:22" s="53" customFormat="1" x14ac:dyDescent="0.35">
      <c r="A641" s="2">
        <v>43313</v>
      </c>
      <c r="B641" s="3">
        <f t="shared" si="36"/>
        <v>2018</v>
      </c>
      <c r="C641" s="3">
        <f t="shared" si="37"/>
        <v>8</v>
      </c>
      <c r="D641" s="3">
        <f t="shared" si="38"/>
        <v>1</v>
      </c>
      <c r="E641" s="13">
        <v>25.2</v>
      </c>
      <c r="F641" s="13">
        <v>31.8</v>
      </c>
      <c r="G641" s="13">
        <v>27.8</v>
      </c>
      <c r="H641" s="34">
        <v>27.5</v>
      </c>
      <c r="I641" s="13">
        <v>32.6</v>
      </c>
      <c r="J641" s="77">
        <v>23.2</v>
      </c>
      <c r="K641" s="93" t="s">
        <v>9</v>
      </c>
      <c r="L641" s="42">
        <v>100</v>
      </c>
      <c r="M641"/>
      <c r="N641" s="38">
        <v>1011.6</v>
      </c>
      <c r="O641" s="8">
        <v>72</v>
      </c>
      <c r="P641" s="8">
        <v>54</v>
      </c>
      <c r="Q641" s="8">
        <v>76</v>
      </c>
      <c r="R641" s="8">
        <v>65</v>
      </c>
      <c r="S641" s="20">
        <v>5</v>
      </c>
      <c r="T641" s="6" t="s">
        <v>6</v>
      </c>
      <c r="U641" s="20">
        <v>8</v>
      </c>
      <c r="V641" s="12" t="s">
        <v>7</v>
      </c>
    </row>
    <row r="642" spans="1:22" s="53" customFormat="1" x14ac:dyDescent="0.35">
      <c r="A642" s="2">
        <v>43314</v>
      </c>
      <c r="B642" s="3">
        <f t="shared" si="36"/>
        <v>2018</v>
      </c>
      <c r="C642" s="3">
        <f t="shared" si="37"/>
        <v>8</v>
      </c>
      <c r="D642" s="3">
        <f t="shared" si="38"/>
        <v>2</v>
      </c>
      <c r="E642" s="13">
        <v>25</v>
      </c>
      <c r="F642" s="13">
        <v>32.5</v>
      </c>
      <c r="G642" s="13">
        <v>27.7</v>
      </c>
      <c r="H642" s="34">
        <v>27.2</v>
      </c>
      <c r="I642" s="13">
        <v>33.4</v>
      </c>
      <c r="J642" s="77">
        <v>22.8</v>
      </c>
      <c r="K642" s="93" t="s">
        <v>9</v>
      </c>
      <c r="L642" s="42">
        <v>100</v>
      </c>
      <c r="M642"/>
      <c r="N642" s="38">
        <v>1012.8</v>
      </c>
      <c r="O642" s="8">
        <v>63</v>
      </c>
      <c r="P642" s="8">
        <v>32</v>
      </c>
      <c r="Q642" s="8">
        <v>45</v>
      </c>
      <c r="R642" s="8">
        <v>50</v>
      </c>
      <c r="S642" s="20">
        <v>7</v>
      </c>
      <c r="T642" s="6" t="s">
        <v>6</v>
      </c>
      <c r="U642" s="20">
        <v>14</v>
      </c>
      <c r="V642" s="12" t="s">
        <v>6</v>
      </c>
    </row>
    <row r="643" spans="1:22" s="53" customFormat="1" x14ac:dyDescent="0.35">
      <c r="A643" s="2">
        <v>43315</v>
      </c>
      <c r="B643" s="3">
        <f t="shared" si="36"/>
        <v>2018</v>
      </c>
      <c r="C643" s="3">
        <f t="shared" si="37"/>
        <v>8</v>
      </c>
      <c r="D643" s="3">
        <f t="shared" si="38"/>
        <v>3</v>
      </c>
      <c r="E643" s="13">
        <v>24.2</v>
      </c>
      <c r="F643" s="13">
        <v>30.7</v>
      </c>
      <c r="G643" s="13">
        <v>27.2</v>
      </c>
      <c r="H643" s="34">
        <v>25.9</v>
      </c>
      <c r="I643" s="13">
        <v>31.2</v>
      </c>
      <c r="J643" s="77">
        <v>22.2</v>
      </c>
      <c r="K643" s="93" t="s">
        <v>9</v>
      </c>
      <c r="L643" s="42">
        <v>100</v>
      </c>
      <c r="M643"/>
      <c r="N643" s="38">
        <v>1012.5</v>
      </c>
      <c r="O643" s="8">
        <v>56</v>
      </c>
      <c r="P643" s="8">
        <v>37</v>
      </c>
      <c r="Q643" s="8">
        <v>51</v>
      </c>
      <c r="R643" s="8">
        <v>55</v>
      </c>
      <c r="S643" s="20">
        <v>7</v>
      </c>
      <c r="T643" s="6" t="s">
        <v>6</v>
      </c>
      <c r="U643" s="20">
        <v>17</v>
      </c>
      <c r="V643" s="12" t="s">
        <v>6</v>
      </c>
    </row>
    <row r="644" spans="1:22" s="53" customFormat="1" x14ac:dyDescent="0.35">
      <c r="A644" s="2">
        <v>43316</v>
      </c>
      <c r="B644" s="3">
        <f t="shared" si="36"/>
        <v>2018</v>
      </c>
      <c r="C644" s="3">
        <f t="shared" si="37"/>
        <v>8</v>
      </c>
      <c r="D644" s="3">
        <f t="shared" si="38"/>
        <v>4</v>
      </c>
      <c r="E644" s="13">
        <v>23.8</v>
      </c>
      <c r="F644" s="13">
        <v>30.6</v>
      </c>
      <c r="G644" s="13">
        <v>27.6</v>
      </c>
      <c r="H644" s="34">
        <v>26.5</v>
      </c>
      <c r="I644" s="13">
        <v>31</v>
      </c>
      <c r="J644" s="77">
        <v>23</v>
      </c>
      <c r="K644" s="93" t="s">
        <v>9</v>
      </c>
      <c r="L644" s="42">
        <v>100</v>
      </c>
      <c r="M644"/>
      <c r="N644" s="38">
        <v>1011.6</v>
      </c>
      <c r="O644" s="8">
        <v>62</v>
      </c>
      <c r="P644" s="8">
        <v>44</v>
      </c>
      <c r="Q644" s="8">
        <v>54</v>
      </c>
      <c r="R644" s="8">
        <v>54</v>
      </c>
      <c r="S644" s="20">
        <v>6</v>
      </c>
      <c r="T644" s="6" t="s">
        <v>6</v>
      </c>
      <c r="U644" s="20">
        <v>11</v>
      </c>
      <c r="V644" s="12" t="s">
        <v>8</v>
      </c>
    </row>
    <row r="645" spans="1:22" s="53" customFormat="1" x14ac:dyDescent="0.35">
      <c r="A645" s="2">
        <v>43317</v>
      </c>
      <c r="B645" s="3">
        <f t="shared" si="36"/>
        <v>2018</v>
      </c>
      <c r="C645" s="3">
        <f t="shared" si="37"/>
        <v>8</v>
      </c>
      <c r="D645" s="3">
        <f t="shared" si="38"/>
        <v>5</v>
      </c>
      <c r="E645" s="13">
        <v>24</v>
      </c>
      <c r="F645" s="13">
        <v>31.4</v>
      </c>
      <c r="G645" s="13">
        <v>27.8</v>
      </c>
      <c r="H645" s="34">
        <v>26.5</v>
      </c>
      <c r="I645" s="13">
        <v>32</v>
      </c>
      <c r="J645" s="77">
        <v>22.8</v>
      </c>
      <c r="K645" s="93" t="s">
        <v>9</v>
      </c>
      <c r="L645" s="42">
        <v>91</v>
      </c>
      <c r="M645"/>
      <c r="N645" s="38">
        <v>1012.1</v>
      </c>
      <c r="O645" s="8">
        <v>63</v>
      </c>
      <c r="P645" s="8">
        <v>38</v>
      </c>
      <c r="Q645" s="8">
        <v>55</v>
      </c>
      <c r="R645" s="8">
        <v>53</v>
      </c>
      <c r="S645" s="20">
        <v>7</v>
      </c>
      <c r="T645" s="6" t="s">
        <v>6</v>
      </c>
      <c r="U645" s="20">
        <v>11</v>
      </c>
      <c r="V645" s="12" t="s">
        <v>4</v>
      </c>
    </row>
    <row r="646" spans="1:22" s="53" customFormat="1" x14ac:dyDescent="0.35">
      <c r="A646" s="2">
        <v>43318</v>
      </c>
      <c r="B646" s="3">
        <f t="shared" si="36"/>
        <v>2018</v>
      </c>
      <c r="C646" s="3">
        <f t="shared" si="37"/>
        <v>8</v>
      </c>
      <c r="D646" s="3">
        <f t="shared" si="38"/>
        <v>6</v>
      </c>
      <c r="E646" s="13">
        <v>24.2</v>
      </c>
      <c r="F646" s="13">
        <v>30.8</v>
      </c>
      <c r="G646" s="13">
        <v>27.6</v>
      </c>
      <c r="H646" s="34">
        <v>26.6</v>
      </c>
      <c r="I646" s="13">
        <v>31.8</v>
      </c>
      <c r="J646" s="77">
        <v>22.4</v>
      </c>
      <c r="K646" s="93" t="s">
        <v>9</v>
      </c>
      <c r="L646" s="42">
        <v>100</v>
      </c>
      <c r="M646"/>
      <c r="N646" s="38">
        <v>1011</v>
      </c>
      <c r="O646" s="8">
        <v>51</v>
      </c>
      <c r="P646" s="8">
        <v>40</v>
      </c>
      <c r="Q646" s="8">
        <v>60</v>
      </c>
      <c r="R646" s="8">
        <v>54</v>
      </c>
      <c r="S646" s="20">
        <v>6</v>
      </c>
      <c r="T646" s="6" t="s">
        <v>6</v>
      </c>
      <c r="U646" s="20">
        <v>10</v>
      </c>
      <c r="V646" s="12" t="s">
        <v>6</v>
      </c>
    </row>
    <row r="647" spans="1:22" s="53" customFormat="1" x14ac:dyDescent="0.35">
      <c r="A647" s="2">
        <v>43319</v>
      </c>
      <c r="B647" s="3">
        <f t="shared" si="36"/>
        <v>2018</v>
      </c>
      <c r="C647" s="3">
        <f t="shared" si="37"/>
        <v>8</v>
      </c>
      <c r="D647" s="3">
        <f t="shared" si="38"/>
        <v>7</v>
      </c>
      <c r="E647" s="13">
        <v>24</v>
      </c>
      <c r="F647" s="13">
        <v>30.2</v>
      </c>
      <c r="G647" s="13">
        <v>27.6</v>
      </c>
      <c r="H647" s="34">
        <v>27</v>
      </c>
      <c r="I647" s="13">
        <v>31.7</v>
      </c>
      <c r="J647" s="77">
        <v>24</v>
      </c>
      <c r="K647" s="93" t="s">
        <v>9</v>
      </c>
      <c r="L647" s="42">
        <v>100</v>
      </c>
      <c r="M647"/>
      <c r="N647" s="38">
        <v>1010.6</v>
      </c>
      <c r="O647" s="8">
        <v>66</v>
      </c>
      <c r="P647" s="8">
        <v>56</v>
      </c>
      <c r="Q647" s="8">
        <v>68</v>
      </c>
      <c r="R647" s="8">
        <v>65</v>
      </c>
      <c r="S647" s="20">
        <v>5</v>
      </c>
      <c r="T647" s="6" t="s">
        <v>6</v>
      </c>
      <c r="U647" s="20">
        <v>9</v>
      </c>
      <c r="V647" s="12" t="s">
        <v>2</v>
      </c>
    </row>
    <row r="648" spans="1:22" s="53" customFormat="1" x14ac:dyDescent="0.35">
      <c r="A648" s="2">
        <v>43320</v>
      </c>
      <c r="B648" s="3">
        <f t="shared" si="36"/>
        <v>2018</v>
      </c>
      <c r="C648" s="3">
        <f t="shared" si="37"/>
        <v>8</v>
      </c>
      <c r="D648" s="3">
        <f t="shared" si="38"/>
        <v>8</v>
      </c>
      <c r="E648" s="13">
        <v>25</v>
      </c>
      <c r="F648" s="13">
        <v>29.6</v>
      </c>
      <c r="G648" s="13">
        <v>27.6</v>
      </c>
      <c r="H648" s="34">
        <v>27.2</v>
      </c>
      <c r="I648" s="13">
        <v>30.4</v>
      </c>
      <c r="J648" s="77">
        <v>24</v>
      </c>
      <c r="K648" s="93" t="s">
        <v>9</v>
      </c>
      <c r="L648" s="42">
        <v>74</v>
      </c>
      <c r="M648"/>
      <c r="N648" s="38">
        <v>1009.2</v>
      </c>
      <c r="O648" s="8">
        <v>76</v>
      </c>
      <c r="P648" s="8">
        <v>64</v>
      </c>
      <c r="Q648" s="8">
        <v>76</v>
      </c>
      <c r="R648" s="8">
        <v>73</v>
      </c>
      <c r="S648" s="20">
        <v>5</v>
      </c>
      <c r="T648" s="6" t="s">
        <v>3</v>
      </c>
      <c r="U648" s="20">
        <v>10</v>
      </c>
      <c r="V648" s="12" t="s">
        <v>7</v>
      </c>
    </row>
    <row r="649" spans="1:22" s="53" customFormat="1" x14ac:dyDescent="0.35">
      <c r="A649" s="2">
        <v>43321</v>
      </c>
      <c r="B649" s="3">
        <f t="shared" si="36"/>
        <v>2018</v>
      </c>
      <c r="C649" s="3">
        <f t="shared" si="37"/>
        <v>8</v>
      </c>
      <c r="D649" s="3">
        <f t="shared" si="38"/>
        <v>9</v>
      </c>
      <c r="E649" s="13">
        <v>25.4</v>
      </c>
      <c r="F649" s="13">
        <v>31</v>
      </c>
      <c r="G649" s="13">
        <v>27.8</v>
      </c>
      <c r="H649" s="34">
        <v>27.7</v>
      </c>
      <c r="I649" s="13">
        <v>32.200000000000003</v>
      </c>
      <c r="J649" s="77">
        <v>24.2</v>
      </c>
      <c r="K649" s="93" t="s">
        <v>9</v>
      </c>
      <c r="L649" s="42">
        <v>100</v>
      </c>
      <c r="M649"/>
      <c r="N649" s="38">
        <v>1010.2</v>
      </c>
      <c r="O649" s="8">
        <v>79</v>
      </c>
      <c r="P649" s="8">
        <v>62</v>
      </c>
      <c r="Q649" s="8">
        <v>77</v>
      </c>
      <c r="R649" s="8">
        <v>71</v>
      </c>
      <c r="S649" s="20">
        <v>6</v>
      </c>
      <c r="T649" s="6" t="s">
        <v>3</v>
      </c>
      <c r="U649" s="20">
        <v>12</v>
      </c>
      <c r="V649" s="12" t="s">
        <v>7</v>
      </c>
    </row>
    <row r="650" spans="1:22" s="53" customFormat="1" x14ac:dyDescent="0.35">
      <c r="A650" s="2">
        <v>43322</v>
      </c>
      <c r="B650" s="3">
        <f t="shared" si="36"/>
        <v>2018</v>
      </c>
      <c r="C650" s="3">
        <f t="shared" si="37"/>
        <v>8</v>
      </c>
      <c r="D650" s="3">
        <f t="shared" si="38"/>
        <v>10</v>
      </c>
      <c r="E650" s="13">
        <v>25.8</v>
      </c>
      <c r="F650" s="13">
        <v>30.8</v>
      </c>
      <c r="G650" s="13">
        <v>27.8</v>
      </c>
      <c r="H650" s="34">
        <v>27.4</v>
      </c>
      <c r="I650" s="13">
        <v>31.8</v>
      </c>
      <c r="J650" s="77">
        <v>23.8</v>
      </c>
      <c r="K650" s="93" t="s">
        <v>9</v>
      </c>
      <c r="L650" s="42">
        <v>100</v>
      </c>
      <c r="M650"/>
      <c r="N650" s="38">
        <v>1011.6</v>
      </c>
      <c r="O650" s="8">
        <v>72</v>
      </c>
      <c r="P650" s="8">
        <v>59</v>
      </c>
      <c r="Q650" s="8">
        <v>75</v>
      </c>
      <c r="R650" s="8">
        <v>66</v>
      </c>
      <c r="S650" s="20">
        <v>5</v>
      </c>
      <c r="T650" s="6" t="s">
        <v>3</v>
      </c>
      <c r="U650" s="20">
        <v>13</v>
      </c>
      <c r="V650" s="12" t="s">
        <v>3</v>
      </c>
    </row>
    <row r="651" spans="1:22" s="53" customFormat="1" x14ac:dyDescent="0.35">
      <c r="A651" s="2">
        <v>43323</v>
      </c>
      <c r="B651" s="3">
        <f t="shared" si="36"/>
        <v>2018</v>
      </c>
      <c r="C651" s="3">
        <f t="shared" si="37"/>
        <v>8</v>
      </c>
      <c r="D651" s="3">
        <f t="shared" si="38"/>
        <v>11</v>
      </c>
      <c r="E651" s="13">
        <v>25.2</v>
      </c>
      <c r="F651" s="13">
        <v>31.2</v>
      </c>
      <c r="G651" s="13">
        <v>29.6</v>
      </c>
      <c r="H651" s="34">
        <v>27.5</v>
      </c>
      <c r="I651" s="13">
        <v>31.8</v>
      </c>
      <c r="J651" s="77">
        <v>23.8</v>
      </c>
      <c r="K651" s="78">
        <v>0</v>
      </c>
      <c r="L651" s="42">
        <v>100</v>
      </c>
      <c r="M651" t="s">
        <v>11</v>
      </c>
      <c r="N651" s="38">
        <v>1010.7</v>
      </c>
      <c r="O651" s="8">
        <v>70</v>
      </c>
      <c r="P651" s="8">
        <v>59</v>
      </c>
      <c r="Q651" s="8">
        <v>55</v>
      </c>
      <c r="R651" s="8">
        <v>66</v>
      </c>
      <c r="S651" s="20">
        <v>6</v>
      </c>
      <c r="T651" s="6" t="s">
        <v>6</v>
      </c>
      <c r="U651" s="37">
        <v>11</v>
      </c>
      <c r="V651" s="33" t="s">
        <v>7</v>
      </c>
    </row>
    <row r="652" spans="1:22" s="53" customFormat="1" x14ac:dyDescent="0.35">
      <c r="A652" s="2">
        <v>43324</v>
      </c>
      <c r="B652" s="3">
        <f t="shared" si="36"/>
        <v>2018</v>
      </c>
      <c r="C652" s="3">
        <f t="shared" si="37"/>
        <v>8</v>
      </c>
      <c r="D652" s="3">
        <f t="shared" si="38"/>
        <v>12</v>
      </c>
      <c r="E652" s="13">
        <v>25.5</v>
      </c>
      <c r="F652" s="13">
        <v>30.6</v>
      </c>
      <c r="G652" s="13">
        <v>27.8</v>
      </c>
      <c r="H652" s="34">
        <v>27.4</v>
      </c>
      <c r="I652" s="13">
        <v>31.6</v>
      </c>
      <c r="J652" s="77">
        <v>24</v>
      </c>
      <c r="K652" s="93" t="s">
        <v>9</v>
      </c>
      <c r="L652" s="42">
        <v>100</v>
      </c>
      <c r="M652"/>
      <c r="N652" s="38">
        <v>1010.5</v>
      </c>
      <c r="O652" s="8">
        <v>65</v>
      </c>
      <c r="P652" s="8">
        <v>55</v>
      </c>
      <c r="Q652" s="8">
        <v>73</v>
      </c>
      <c r="R652" s="8">
        <v>67</v>
      </c>
      <c r="S652" s="20">
        <v>5</v>
      </c>
      <c r="T652" s="6" t="s">
        <v>6</v>
      </c>
      <c r="U652" s="20">
        <v>10</v>
      </c>
      <c r="V652" s="12" t="s">
        <v>7</v>
      </c>
    </row>
    <row r="653" spans="1:22" s="53" customFormat="1" x14ac:dyDescent="0.35">
      <c r="A653" s="2">
        <v>43325</v>
      </c>
      <c r="B653" s="3">
        <f t="shared" si="36"/>
        <v>2018</v>
      </c>
      <c r="C653" s="3">
        <f t="shared" si="37"/>
        <v>8</v>
      </c>
      <c r="D653" s="3">
        <f t="shared" si="38"/>
        <v>13</v>
      </c>
      <c r="E653" s="13">
        <v>25.6</v>
      </c>
      <c r="F653" s="13">
        <v>31</v>
      </c>
      <c r="G653" s="13">
        <v>28</v>
      </c>
      <c r="H653" s="34">
        <v>27.4</v>
      </c>
      <c r="I653" s="13">
        <v>31.6</v>
      </c>
      <c r="J653" s="77">
        <v>23.2</v>
      </c>
      <c r="K653" s="93" t="s">
        <v>9</v>
      </c>
      <c r="L653" s="42">
        <v>100</v>
      </c>
      <c r="M653"/>
      <c r="N653" s="38">
        <v>1011.3</v>
      </c>
      <c r="O653" s="8">
        <v>69</v>
      </c>
      <c r="P653" s="8">
        <v>56</v>
      </c>
      <c r="Q653" s="8">
        <v>71</v>
      </c>
      <c r="R653" s="8">
        <v>70</v>
      </c>
      <c r="S653" s="20">
        <v>6</v>
      </c>
      <c r="T653" s="6" t="s">
        <v>3</v>
      </c>
      <c r="U653" s="20">
        <v>13</v>
      </c>
      <c r="V653" s="12" t="s">
        <v>7</v>
      </c>
    </row>
    <row r="654" spans="1:22" s="53" customFormat="1" x14ac:dyDescent="0.35">
      <c r="A654" s="2">
        <v>43326</v>
      </c>
      <c r="B654" s="3">
        <f t="shared" si="36"/>
        <v>2018</v>
      </c>
      <c r="C654" s="3">
        <f t="shared" si="37"/>
        <v>8</v>
      </c>
      <c r="D654" s="3">
        <f t="shared" si="38"/>
        <v>14</v>
      </c>
      <c r="E654" s="13">
        <v>24.8</v>
      </c>
      <c r="F654" s="13">
        <v>30.2</v>
      </c>
      <c r="G654" s="13">
        <v>27.6</v>
      </c>
      <c r="H654" s="34">
        <v>27.3</v>
      </c>
      <c r="I654" s="13">
        <v>31.2</v>
      </c>
      <c r="J654" s="77">
        <v>24.7</v>
      </c>
      <c r="K654" s="93" t="s">
        <v>9</v>
      </c>
      <c r="L654" s="42">
        <v>100</v>
      </c>
      <c r="M654"/>
      <c r="N654" s="38">
        <v>1011.7</v>
      </c>
      <c r="O654" s="8">
        <v>79</v>
      </c>
      <c r="P654" s="8">
        <v>63</v>
      </c>
      <c r="Q654" s="8">
        <v>76</v>
      </c>
      <c r="R654" s="8">
        <v>71</v>
      </c>
      <c r="S654" s="20">
        <v>5</v>
      </c>
      <c r="T654" s="6" t="s">
        <v>3</v>
      </c>
      <c r="U654" s="20">
        <v>12</v>
      </c>
      <c r="V654" s="12" t="s">
        <v>7</v>
      </c>
    </row>
    <row r="655" spans="1:22" s="53" customFormat="1" x14ac:dyDescent="0.35">
      <c r="A655" s="2">
        <v>43327</v>
      </c>
      <c r="B655" s="3">
        <f t="shared" si="36"/>
        <v>2018</v>
      </c>
      <c r="C655" s="3">
        <f t="shared" si="37"/>
        <v>8</v>
      </c>
      <c r="D655" s="3">
        <f t="shared" si="38"/>
        <v>15</v>
      </c>
      <c r="E655" s="13">
        <v>25.4</v>
      </c>
      <c r="F655" s="13">
        <v>30.8</v>
      </c>
      <c r="G655" s="13">
        <v>27.8</v>
      </c>
      <c r="H655" s="34">
        <v>27</v>
      </c>
      <c r="I655" s="13">
        <v>31.6</v>
      </c>
      <c r="J655" s="77">
        <v>22.8</v>
      </c>
      <c r="K655" s="93" t="s">
        <v>9</v>
      </c>
      <c r="L655" s="42">
        <v>98</v>
      </c>
      <c r="M655"/>
      <c r="N655" s="38">
        <v>1011.7</v>
      </c>
      <c r="O655" s="8">
        <v>67</v>
      </c>
      <c r="P655" s="8">
        <v>48</v>
      </c>
      <c r="Q655" s="8">
        <v>70</v>
      </c>
      <c r="R655" s="8">
        <v>61</v>
      </c>
      <c r="S655" s="20">
        <v>6</v>
      </c>
      <c r="T655" s="6" t="s">
        <v>6</v>
      </c>
      <c r="U655" s="20">
        <v>12</v>
      </c>
      <c r="V655" s="12" t="s">
        <v>7</v>
      </c>
    </row>
    <row r="656" spans="1:22" s="53" customFormat="1" x14ac:dyDescent="0.35">
      <c r="A656" s="2">
        <v>43328</v>
      </c>
      <c r="B656" s="3">
        <f t="shared" si="36"/>
        <v>2018</v>
      </c>
      <c r="C656" s="3">
        <f t="shared" si="37"/>
        <v>8</v>
      </c>
      <c r="D656" s="3">
        <f t="shared" si="38"/>
        <v>16</v>
      </c>
      <c r="E656" s="13">
        <v>24.5</v>
      </c>
      <c r="F656" s="13">
        <v>31</v>
      </c>
      <c r="G656" s="13">
        <v>28.2</v>
      </c>
      <c r="H656" s="34">
        <v>26.9</v>
      </c>
      <c r="I656" s="13">
        <v>31.4</v>
      </c>
      <c r="J656" s="77">
        <v>22.4</v>
      </c>
      <c r="K656" s="93" t="s">
        <v>9</v>
      </c>
      <c r="L656" s="42">
        <v>100</v>
      </c>
      <c r="M656"/>
      <c r="N656" s="38">
        <v>1010.3</v>
      </c>
      <c r="O656" s="8">
        <v>56</v>
      </c>
      <c r="P656" s="8">
        <v>38</v>
      </c>
      <c r="Q656" s="8">
        <v>56</v>
      </c>
      <c r="R656" s="8">
        <v>51</v>
      </c>
      <c r="S656" s="20">
        <v>6</v>
      </c>
      <c r="T656" s="6" t="s">
        <v>6</v>
      </c>
      <c r="U656" s="20">
        <v>12</v>
      </c>
      <c r="V656" s="12" t="s">
        <v>3</v>
      </c>
    </row>
    <row r="657" spans="1:22" s="53" customFormat="1" x14ac:dyDescent="0.35">
      <c r="A657" s="2">
        <v>43329</v>
      </c>
      <c r="B657" s="3">
        <f t="shared" si="36"/>
        <v>2018</v>
      </c>
      <c r="C657" s="3">
        <f t="shared" si="37"/>
        <v>8</v>
      </c>
      <c r="D657" s="3">
        <f t="shared" si="38"/>
        <v>17</v>
      </c>
      <c r="E657" s="13">
        <v>24</v>
      </c>
      <c r="F657" s="13">
        <v>30.8</v>
      </c>
      <c r="G657" s="13">
        <v>27</v>
      </c>
      <c r="H657" s="34">
        <v>26.6</v>
      </c>
      <c r="I657" s="13">
        <v>32.6</v>
      </c>
      <c r="J657" s="77">
        <v>22.6</v>
      </c>
      <c r="K657" s="93" t="s">
        <v>9</v>
      </c>
      <c r="L657" s="42">
        <v>100</v>
      </c>
      <c r="M657"/>
      <c r="N657" s="38">
        <v>1009.7</v>
      </c>
      <c r="O657" s="8">
        <v>59</v>
      </c>
      <c r="P657" s="8">
        <v>44</v>
      </c>
      <c r="Q657" s="8">
        <v>57</v>
      </c>
      <c r="R657" s="8">
        <v>54</v>
      </c>
      <c r="S657" s="20">
        <v>6</v>
      </c>
      <c r="T657" s="6" t="s">
        <v>7</v>
      </c>
      <c r="U657" s="20">
        <v>13</v>
      </c>
      <c r="V657" s="12" t="s">
        <v>7</v>
      </c>
    </row>
    <row r="658" spans="1:22" s="53" customFormat="1" x14ac:dyDescent="0.35">
      <c r="A658" s="2">
        <v>43330</v>
      </c>
      <c r="B658" s="3">
        <f t="shared" si="36"/>
        <v>2018</v>
      </c>
      <c r="C658" s="3">
        <f t="shared" si="37"/>
        <v>8</v>
      </c>
      <c r="D658" s="3">
        <f t="shared" si="38"/>
        <v>18</v>
      </c>
      <c r="E658" s="13">
        <v>24.4</v>
      </c>
      <c r="F658" s="13">
        <v>29.6</v>
      </c>
      <c r="G658" s="13">
        <v>27.4</v>
      </c>
      <c r="H658" s="34">
        <v>26.8</v>
      </c>
      <c r="I658" s="13">
        <v>30.8</v>
      </c>
      <c r="J658" s="77">
        <v>23</v>
      </c>
      <c r="K658" s="93" t="s">
        <v>9</v>
      </c>
      <c r="L658" s="42">
        <v>100</v>
      </c>
      <c r="M658"/>
      <c r="N658" s="38">
        <v>1009.8</v>
      </c>
      <c r="O658" s="8">
        <v>61</v>
      </c>
      <c r="P658" s="8">
        <v>54</v>
      </c>
      <c r="Q658" s="8">
        <v>69</v>
      </c>
      <c r="R658" s="8">
        <v>66</v>
      </c>
      <c r="S658" s="20">
        <v>6</v>
      </c>
      <c r="T658" s="6" t="s">
        <v>7</v>
      </c>
      <c r="U658" s="20">
        <v>11</v>
      </c>
      <c r="V658" s="12" t="s">
        <v>7</v>
      </c>
    </row>
    <row r="659" spans="1:22" s="53" customFormat="1" x14ac:dyDescent="0.35">
      <c r="A659" s="2">
        <v>43331</v>
      </c>
      <c r="B659" s="3">
        <f t="shared" si="36"/>
        <v>2018</v>
      </c>
      <c r="C659" s="3">
        <f t="shared" si="37"/>
        <v>8</v>
      </c>
      <c r="D659" s="3">
        <f t="shared" si="38"/>
        <v>19</v>
      </c>
      <c r="E659" s="13">
        <v>24.8</v>
      </c>
      <c r="F659" s="13">
        <v>30.2</v>
      </c>
      <c r="G659" s="13">
        <v>27.8</v>
      </c>
      <c r="H659" s="34">
        <v>27.1</v>
      </c>
      <c r="I659" s="13">
        <v>30.8</v>
      </c>
      <c r="J659" s="77">
        <v>23.2</v>
      </c>
      <c r="K659" s="93" t="s">
        <v>9</v>
      </c>
      <c r="L659" s="42">
        <v>100</v>
      </c>
      <c r="M659"/>
      <c r="N659" s="38">
        <v>1010.9</v>
      </c>
      <c r="O659" s="8">
        <v>70</v>
      </c>
      <c r="P659" s="8">
        <v>58</v>
      </c>
      <c r="Q659" s="8">
        <v>76</v>
      </c>
      <c r="R659" s="8">
        <v>72</v>
      </c>
      <c r="S659" s="20">
        <v>6</v>
      </c>
      <c r="T659" s="6" t="s">
        <v>3</v>
      </c>
      <c r="U659" s="20">
        <v>11</v>
      </c>
      <c r="V659" s="12" t="s">
        <v>7</v>
      </c>
    </row>
    <row r="660" spans="1:22" s="53" customFormat="1" x14ac:dyDescent="0.35">
      <c r="A660" s="2">
        <v>43332</v>
      </c>
      <c r="B660" s="3">
        <f t="shared" si="36"/>
        <v>2018</v>
      </c>
      <c r="C660" s="3">
        <f t="shared" si="37"/>
        <v>8</v>
      </c>
      <c r="D660" s="3">
        <f t="shared" si="38"/>
        <v>20</v>
      </c>
      <c r="E660" s="13">
        <v>24.4</v>
      </c>
      <c r="F660" s="13">
        <v>30.6</v>
      </c>
      <c r="G660" s="13">
        <v>28.4</v>
      </c>
      <c r="H660" s="34">
        <v>27.4</v>
      </c>
      <c r="I660" s="13">
        <v>31.5</v>
      </c>
      <c r="J660" s="77">
        <v>23.7</v>
      </c>
      <c r="K660" s="93" t="s">
        <v>9</v>
      </c>
      <c r="L660" s="42">
        <v>100</v>
      </c>
      <c r="M660"/>
      <c r="N660" s="38">
        <v>1010.4</v>
      </c>
      <c r="O660" s="8">
        <v>80</v>
      </c>
      <c r="P660" s="8">
        <v>63</v>
      </c>
      <c r="Q660" s="8">
        <v>72</v>
      </c>
      <c r="R660" s="8">
        <v>75</v>
      </c>
      <c r="S660" s="20">
        <v>5</v>
      </c>
      <c r="T660" s="6" t="s">
        <v>3</v>
      </c>
      <c r="U660" s="20">
        <v>11</v>
      </c>
      <c r="V660" s="12" t="s">
        <v>7</v>
      </c>
    </row>
    <row r="661" spans="1:22" s="53" customFormat="1" x14ac:dyDescent="0.35">
      <c r="A661" s="2">
        <v>43333</v>
      </c>
      <c r="B661" s="3">
        <f t="shared" si="36"/>
        <v>2018</v>
      </c>
      <c r="C661" s="3">
        <f t="shared" si="37"/>
        <v>8</v>
      </c>
      <c r="D661" s="3">
        <f t="shared" si="38"/>
        <v>21</v>
      </c>
      <c r="E661" s="13">
        <v>25.4</v>
      </c>
      <c r="F661" s="13">
        <v>30.6</v>
      </c>
      <c r="G661" s="13">
        <v>28.2</v>
      </c>
      <c r="H661" s="34">
        <v>27.6</v>
      </c>
      <c r="I661" s="13">
        <v>31</v>
      </c>
      <c r="J661" s="77">
        <v>24.2</v>
      </c>
      <c r="K661" s="93" t="s">
        <v>9</v>
      </c>
      <c r="L661" s="42">
        <v>100</v>
      </c>
      <c r="M661"/>
      <c r="N661" s="38">
        <v>1010.4</v>
      </c>
      <c r="O661" s="8">
        <v>76</v>
      </c>
      <c r="P661" s="8">
        <v>64</v>
      </c>
      <c r="Q661" s="8">
        <v>72</v>
      </c>
      <c r="R661" s="8">
        <v>71</v>
      </c>
      <c r="S661" s="20">
        <v>5</v>
      </c>
      <c r="T661" s="6" t="s">
        <v>6</v>
      </c>
      <c r="U661" s="20">
        <v>12</v>
      </c>
      <c r="V661" s="12" t="s">
        <v>3</v>
      </c>
    </row>
    <row r="662" spans="1:22" s="53" customFormat="1" x14ac:dyDescent="0.35">
      <c r="A662" s="2">
        <v>43334</v>
      </c>
      <c r="B662" s="3">
        <f t="shared" si="36"/>
        <v>2018</v>
      </c>
      <c r="C662" s="3">
        <f t="shared" si="37"/>
        <v>8</v>
      </c>
      <c r="D662" s="3">
        <f t="shared" si="38"/>
        <v>22</v>
      </c>
      <c r="E662" s="13">
        <v>25.5</v>
      </c>
      <c r="F662" s="13">
        <v>29.6</v>
      </c>
      <c r="G662" s="13">
        <v>27.8</v>
      </c>
      <c r="H662" s="34">
        <v>27.4</v>
      </c>
      <c r="I662" s="13">
        <v>31.6</v>
      </c>
      <c r="J662" s="77">
        <v>23.6</v>
      </c>
      <c r="K662" s="93" t="s">
        <v>9</v>
      </c>
      <c r="L662" s="42">
        <v>100</v>
      </c>
      <c r="M662"/>
      <c r="N662" s="38">
        <v>1010.3</v>
      </c>
      <c r="O662" s="8">
        <v>64</v>
      </c>
      <c r="P662" s="8">
        <v>55</v>
      </c>
      <c r="Q662" s="8">
        <v>76</v>
      </c>
      <c r="R662" s="8">
        <v>65</v>
      </c>
      <c r="S662" s="20">
        <v>6</v>
      </c>
      <c r="T662" s="6" t="s">
        <v>6</v>
      </c>
      <c r="U662" s="20">
        <v>15</v>
      </c>
      <c r="V662" s="12" t="s">
        <v>3</v>
      </c>
    </row>
    <row r="663" spans="1:22" s="53" customFormat="1" x14ac:dyDescent="0.35">
      <c r="A663" s="2">
        <v>43335</v>
      </c>
      <c r="B663" s="3">
        <f t="shared" si="36"/>
        <v>2018</v>
      </c>
      <c r="C663" s="3">
        <f t="shared" si="37"/>
        <v>8</v>
      </c>
      <c r="D663" s="3">
        <f t="shared" si="38"/>
        <v>23</v>
      </c>
      <c r="E663" s="13">
        <v>25.6</v>
      </c>
      <c r="F663" s="13">
        <v>30.8</v>
      </c>
      <c r="G663" s="13">
        <v>28</v>
      </c>
      <c r="H663" s="34">
        <v>27.3</v>
      </c>
      <c r="I663" s="13">
        <v>31.6</v>
      </c>
      <c r="J663" s="77">
        <v>23.4</v>
      </c>
      <c r="K663" s="93" t="s">
        <v>9</v>
      </c>
      <c r="L663" s="42">
        <v>100</v>
      </c>
      <c r="M663"/>
      <c r="N663" s="38">
        <v>1011.5</v>
      </c>
      <c r="O663" s="8">
        <v>65</v>
      </c>
      <c r="P663" s="8">
        <v>54</v>
      </c>
      <c r="Q663" s="8">
        <v>75</v>
      </c>
      <c r="R663" s="8">
        <v>65</v>
      </c>
      <c r="S663" s="20">
        <v>5</v>
      </c>
      <c r="T663" s="6" t="s">
        <v>6</v>
      </c>
      <c r="U663" s="20">
        <v>13</v>
      </c>
      <c r="V663" s="12" t="s">
        <v>7</v>
      </c>
    </row>
    <row r="664" spans="1:22" s="53" customFormat="1" x14ac:dyDescent="0.35">
      <c r="A664" s="2">
        <v>43336</v>
      </c>
      <c r="B664" s="3">
        <f t="shared" si="36"/>
        <v>2018</v>
      </c>
      <c r="C664" s="3">
        <f t="shared" si="37"/>
        <v>8</v>
      </c>
      <c r="D664" s="3">
        <f t="shared" si="38"/>
        <v>24</v>
      </c>
      <c r="E664" s="13">
        <v>25</v>
      </c>
      <c r="F664" s="13">
        <v>30.4</v>
      </c>
      <c r="G664" s="13">
        <v>27.4</v>
      </c>
      <c r="H664" s="34">
        <v>27</v>
      </c>
      <c r="I664" s="13">
        <v>30.9</v>
      </c>
      <c r="J664" s="77">
        <v>23.2</v>
      </c>
      <c r="K664" s="93" t="s">
        <v>9</v>
      </c>
      <c r="L664" s="42">
        <v>100</v>
      </c>
      <c r="M664"/>
      <c r="N664" s="38">
        <v>1011</v>
      </c>
      <c r="O664" s="8">
        <v>71</v>
      </c>
      <c r="P664" s="8">
        <v>58</v>
      </c>
      <c r="Q664" s="8">
        <v>74</v>
      </c>
      <c r="R664" s="8">
        <v>66</v>
      </c>
      <c r="S664" s="20">
        <v>6</v>
      </c>
      <c r="T664" s="6" t="s">
        <v>7</v>
      </c>
      <c r="U664" s="20">
        <v>15</v>
      </c>
      <c r="V664" s="12" t="s">
        <v>7</v>
      </c>
    </row>
    <row r="665" spans="1:22" s="53" customFormat="1" x14ac:dyDescent="0.35">
      <c r="A665" s="2">
        <v>43337</v>
      </c>
      <c r="B665" s="3">
        <f t="shared" si="36"/>
        <v>2018</v>
      </c>
      <c r="C665" s="3">
        <f t="shared" si="37"/>
        <v>8</v>
      </c>
      <c r="D665" s="3">
        <f t="shared" si="38"/>
        <v>25</v>
      </c>
      <c r="E665" s="13">
        <v>24.8</v>
      </c>
      <c r="F665" s="13">
        <v>30.6</v>
      </c>
      <c r="G665" s="13">
        <v>27.8</v>
      </c>
      <c r="H665" s="34">
        <v>26.8</v>
      </c>
      <c r="I665" s="13">
        <v>31.2</v>
      </c>
      <c r="J665" s="77">
        <v>23</v>
      </c>
      <c r="K665" s="93" t="s">
        <v>9</v>
      </c>
      <c r="L665" s="42">
        <v>100</v>
      </c>
      <c r="M665"/>
      <c r="N665" s="38">
        <v>1009.8</v>
      </c>
      <c r="O665" s="8">
        <v>57</v>
      </c>
      <c r="P665" s="8">
        <v>49</v>
      </c>
      <c r="Q665" s="8">
        <v>62</v>
      </c>
      <c r="R665" s="8">
        <v>64</v>
      </c>
      <c r="S665" s="20">
        <v>5</v>
      </c>
      <c r="T665" s="6" t="s">
        <v>7</v>
      </c>
      <c r="U665" s="20">
        <v>10</v>
      </c>
      <c r="V665" s="12" t="s">
        <v>3</v>
      </c>
    </row>
    <row r="666" spans="1:22" s="53" customFormat="1" x14ac:dyDescent="0.35">
      <c r="A666" s="2">
        <v>43338</v>
      </c>
      <c r="B666" s="3">
        <f t="shared" si="36"/>
        <v>2018</v>
      </c>
      <c r="C666" s="3">
        <f t="shared" si="37"/>
        <v>8</v>
      </c>
      <c r="D666" s="3">
        <f t="shared" si="38"/>
        <v>26</v>
      </c>
      <c r="E666" s="13">
        <v>24.6</v>
      </c>
      <c r="F666" s="13">
        <v>30.8</v>
      </c>
      <c r="G666" s="13">
        <v>28</v>
      </c>
      <c r="H666" s="34">
        <v>27.2</v>
      </c>
      <c r="I666" s="13">
        <v>31.2</v>
      </c>
      <c r="J666" s="77">
        <v>23.8</v>
      </c>
      <c r="K666" s="93" t="s">
        <v>9</v>
      </c>
      <c r="L666" s="42">
        <v>100</v>
      </c>
      <c r="M666"/>
      <c r="N666" s="38">
        <v>1010</v>
      </c>
      <c r="O666" s="8">
        <v>71</v>
      </c>
      <c r="P666" s="8">
        <v>55</v>
      </c>
      <c r="Q666" s="8">
        <v>73</v>
      </c>
      <c r="R666" s="8">
        <v>70</v>
      </c>
      <c r="S666" s="20">
        <v>7</v>
      </c>
      <c r="T666" s="6" t="s">
        <v>3</v>
      </c>
      <c r="U666" s="20">
        <v>14</v>
      </c>
      <c r="V666" s="12" t="s">
        <v>7</v>
      </c>
    </row>
    <row r="667" spans="1:22" s="53" customFormat="1" x14ac:dyDescent="0.35">
      <c r="A667" s="2">
        <v>43339</v>
      </c>
      <c r="B667" s="3">
        <f t="shared" si="36"/>
        <v>2018</v>
      </c>
      <c r="C667" s="3">
        <f t="shared" si="37"/>
        <v>8</v>
      </c>
      <c r="D667" s="3">
        <f t="shared" si="38"/>
        <v>27</v>
      </c>
      <c r="E667" s="13">
        <v>25.3</v>
      </c>
      <c r="F667" s="13">
        <v>30.4</v>
      </c>
      <c r="G667" s="13">
        <v>28</v>
      </c>
      <c r="H667" s="34">
        <v>27.7</v>
      </c>
      <c r="I667" s="13">
        <v>30.8</v>
      </c>
      <c r="J667" s="77">
        <v>24.6</v>
      </c>
      <c r="K667" s="93" t="s">
        <v>9</v>
      </c>
      <c r="L667" s="42">
        <v>100</v>
      </c>
      <c r="M667"/>
      <c r="N667" s="38">
        <v>1010.8</v>
      </c>
      <c r="O667" s="8">
        <v>71</v>
      </c>
      <c r="P667" s="8">
        <v>56</v>
      </c>
      <c r="Q667" s="8">
        <v>72</v>
      </c>
      <c r="R667" s="8">
        <v>71</v>
      </c>
      <c r="S667" s="20">
        <v>6</v>
      </c>
      <c r="T667" s="6" t="s">
        <v>3</v>
      </c>
      <c r="U667" s="20">
        <v>12</v>
      </c>
      <c r="V667" s="12" t="s">
        <v>3</v>
      </c>
    </row>
    <row r="668" spans="1:22" s="53" customFormat="1" x14ac:dyDescent="0.35">
      <c r="A668" s="2">
        <v>43340</v>
      </c>
      <c r="B668" s="3">
        <f t="shared" si="36"/>
        <v>2018</v>
      </c>
      <c r="C668" s="3">
        <f t="shared" si="37"/>
        <v>8</v>
      </c>
      <c r="D668" s="3">
        <f t="shared" si="38"/>
        <v>28</v>
      </c>
      <c r="E668" s="13">
        <v>26.2</v>
      </c>
      <c r="F668" s="13">
        <v>30.6</v>
      </c>
      <c r="G668" s="13">
        <v>28.2</v>
      </c>
      <c r="H668" s="34">
        <v>27.9</v>
      </c>
      <c r="I668" s="13">
        <v>31.2</v>
      </c>
      <c r="J668" s="77">
        <v>25</v>
      </c>
      <c r="K668" s="93" t="s">
        <v>9</v>
      </c>
      <c r="L668" s="42">
        <v>100</v>
      </c>
      <c r="M668"/>
      <c r="N668" s="38">
        <v>1011.4</v>
      </c>
      <c r="O668" s="8">
        <v>81</v>
      </c>
      <c r="P668" s="8">
        <v>66</v>
      </c>
      <c r="Q668" s="8">
        <v>78</v>
      </c>
      <c r="R668" s="8">
        <v>72</v>
      </c>
      <c r="S668" s="20">
        <v>6</v>
      </c>
      <c r="T668" s="6" t="s">
        <v>3</v>
      </c>
      <c r="U668" s="20">
        <v>13</v>
      </c>
      <c r="V668" s="12" t="s">
        <v>7</v>
      </c>
    </row>
    <row r="669" spans="1:22" s="53" customFormat="1" x14ac:dyDescent="0.35">
      <c r="A669" s="2">
        <v>43341</v>
      </c>
      <c r="B669" s="3">
        <f t="shared" si="36"/>
        <v>2018</v>
      </c>
      <c r="C669" s="3">
        <f t="shared" si="37"/>
        <v>8</v>
      </c>
      <c r="D669" s="3">
        <f t="shared" si="38"/>
        <v>29</v>
      </c>
      <c r="E669" s="13">
        <v>26</v>
      </c>
      <c r="F669" s="13">
        <v>31.5</v>
      </c>
      <c r="G669" s="13">
        <v>28.2</v>
      </c>
      <c r="H669" s="34">
        <v>27.7</v>
      </c>
      <c r="I669" s="13">
        <v>32.799999999999997</v>
      </c>
      <c r="J669" s="77">
        <v>23.8</v>
      </c>
      <c r="K669" s="93" t="s">
        <v>9</v>
      </c>
      <c r="L669" s="42">
        <v>81</v>
      </c>
      <c r="M669"/>
      <c r="N669" s="38">
        <v>1011.1</v>
      </c>
      <c r="O669" s="8">
        <v>72</v>
      </c>
      <c r="P669" s="8">
        <v>60</v>
      </c>
      <c r="Q669" s="8">
        <v>71</v>
      </c>
      <c r="R669" s="8">
        <v>67</v>
      </c>
      <c r="S669" s="20">
        <v>6</v>
      </c>
      <c r="T669" s="6" t="s">
        <v>6</v>
      </c>
      <c r="U669" s="20">
        <v>11</v>
      </c>
      <c r="V669" s="12" t="s">
        <v>7</v>
      </c>
    </row>
    <row r="670" spans="1:22" s="53" customFormat="1" x14ac:dyDescent="0.35">
      <c r="A670" s="2">
        <v>43342</v>
      </c>
      <c r="B670" s="3">
        <f t="shared" si="36"/>
        <v>2018</v>
      </c>
      <c r="C670" s="3">
        <f t="shared" si="37"/>
        <v>8</v>
      </c>
      <c r="D670" s="3">
        <f t="shared" si="38"/>
        <v>30</v>
      </c>
      <c r="E670" s="13">
        <v>25.4</v>
      </c>
      <c r="F670" s="13">
        <v>30.8</v>
      </c>
      <c r="G670" s="13">
        <v>27.8</v>
      </c>
      <c r="H670" s="34">
        <v>27.7</v>
      </c>
      <c r="I670" s="13">
        <v>31.6</v>
      </c>
      <c r="J670" s="77">
        <v>24.6</v>
      </c>
      <c r="K670" s="93" t="s">
        <v>9</v>
      </c>
      <c r="L670" s="42">
        <v>100</v>
      </c>
      <c r="M670"/>
      <c r="N670" s="38">
        <v>1011</v>
      </c>
      <c r="O670" s="8">
        <v>70</v>
      </c>
      <c r="P670" s="8">
        <v>55</v>
      </c>
      <c r="Q670" s="8">
        <v>77</v>
      </c>
      <c r="R670" s="8">
        <v>69</v>
      </c>
      <c r="S670" s="20">
        <v>6</v>
      </c>
      <c r="T670" s="6" t="s">
        <v>6</v>
      </c>
      <c r="U670" s="20">
        <v>14</v>
      </c>
      <c r="V670" s="12" t="s">
        <v>7</v>
      </c>
    </row>
    <row r="671" spans="1:22" s="53" customFormat="1" x14ac:dyDescent="0.35">
      <c r="A671" s="2">
        <v>43343</v>
      </c>
      <c r="B671" s="3">
        <f t="shared" si="36"/>
        <v>2018</v>
      </c>
      <c r="C671" s="3">
        <f t="shared" si="37"/>
        <v>8</v>
      </c>
      <c r="D671" s="3">
        <f t="shared" si="38"/>
        <v>31</v>
      </c>
      <c r="E671" s="13">
        <v>26.4</v>
      </c>
      <c r="F671" s="13">
        <v>31.2</v>
      </c>
      <c r="G671" s="13">
        <v>28.2</v>
      </c>
      <c r="H671" s="34">
        <v>27.9</v>
      </c>
      <c r="I671" s="13">
        <v>31.4</v>
      </c>
      <c r="J671" s="77">
        <v>24.6</v>
      </c>
      <c r="K671" s="93" t="s">
        <v>9</v>
      </c>
      <c r="L671" s="42">
        <v>100</v>
      </c>
      <c r="M671"/>
      <c r="N671" s="38">
        <v>1011.4</v>
      </c>
      <c r="O671" s="8">
        <v>71</v>
      </c>
      <c r="P671" s="8">
        <v>58</v>
      </c>
      <c r="Q671" s="8">
        <v>73</v>
      </c>
      <c r="R671" s="8">
        <v>70</v>
      </c>
      <c r="S671" s="20">
        <v>6</v>
      </c>
      <c r="T671" s="6" t="s">
        <v>7</v>
      </c>
      <c r="U671" s="20">
        <v>14</v>
      </c>
      <c r="V671" s="12" t="s">
        <v>7</v>
      </c>
    </row>
    <row r="672" spans="1:22" s="53" customFormat="1" x14ac:dyDescent="0.35">
      <c r="A672" s="2">
        <v>43344</v>
      </c>
      <c r="B672" s="3">
        <f t="shared" si="36"/>
        <v>2018</v>
      </c>
      <c r="C672" s="3">
        <f t="shared" si="37"/>
        <v>9</v>
      </c>
      <c r="D672" s="3">
        <f t="shared" si="38"/>
        <v>1</v>
      </c>
      <c r="E672" s="13">
        <v>26</v>
      </c>
      <c r="F672" s="13">
        <v>31</v>
      </c>
      <c r="G672" s="13">
        <v>28.6</v>
      </c>
      <c r="H672" s="34">
        <v>27.9</v>
      </c>
      <c r="I672" s="13">
        <v>31.4</v>
      </c>
      <c r="J672" s="13">
        <v>25</v>
      </c>
      <c r="K672" s="94" t="s">
        <v>9</v>
      </c>
      <c r="L672" s="40">
        <v>100</v>
      </c>
      <c r="M672"/>
      <c r="N672" s="13">
        <v>1011.8</v>
      </c>
      <c r="O672" s="8">
        <v>71</v>
      </c>
      <c r="P672" s="8">
        <v>58</v>
      </c>
      <c r="Q672" s="8">
        <v>70</v>
      </c>
      <c r="R672" s="8">
        <v>69</v>
      </c>
      <c r="S672" s="20">
        <v>5</v>
      </c>
      <c r="T672" s="6" t="s">
        <v>19</v>
      </c>
      <c r="U672" s="20">
        <v>12</v>
      </c>
      <c r="V672" s="43" t="s">
        <v>7</v>
      </c>
    </row>
    <row r="673" spans="1:22" s="53" customFormat="1" x14ac:dyDescent="0.35">
      <c r="A673" s="2">
        <v>43345</v>
      </c>
      <c r="B673" s="3">
        <f t="shared" ref="B673:B736" si="39">YEAR(A673)</f>
        <v>2018</v>
      </c>
      <c r="C673" s="3">
        <f t="shared" ref="C673:C736" si="40">MONTH(A673)</f>
        <v>9</v>
      </c>
      <c r="D673" s="3">
        <f t="shared" ref="D673:D736" si="41">DAY(A673)</f>
        <v>2</v>
      </c>
      <c r="E673" s="13">
        <v>26.7</v>
      </c>
      <c r="F673" s="13">
        <v>30.8</v>
      </c>
      <c r="G673" s="13">
        <v>28</v>
      </c>
      <c r="H673" s="34">
        <v>27.7</v>
      </c>
      <c r="I673" s="13">
        <v>31.3</v>
      </c>
      <c r="J673" s="13">
        <v>24.8</v>
      </c>
      <c r="K673" s="94" t="s">
        <v>9</v>
      </c>
      <c r="L673" s="40">
        <v>70</v>
      </c>
      <c r="M673"/>
      <c r="N673" s="13">
        <v>1011.7</v>
      </c>
      <c r="O673" s="8">
        <v>69</v>
      </c>
      <c r="P673" s="8">
        <v>57</v>
      </c>
      <c r="Q673" s="8">
        <v>69</v>
      </c>
      <c r="R673" s="8">
        <v>63</v>
      </c>
      <c r="S673" s="20">
        <v>5</v>
      </c>
      <c r="T673" s="6" t="s">
        <v>6</v>
      </c>
      <c r="U673" s="20">
        <v>10</v>
      </c>
      <c r="V673" s="43" t="s">
        <v>3</v>
      </c>
    </row>
    <row r="674" spans="1:22" s="53" customFormat="1" x14ac:dyDescent="0.35">
      <c r="A674" s="2">
        <v>43346</v>
      </c>
      <c r="B674" s="3">
        <f t="shared" si="39"/>
        <v>2018</v>
      </c>
      <c r="C674" s="3">
        <f t="shared" si="40"/>
        <v>9</v>
      </c>
      <c r="D674" s="3">
        <f t="shared" si="41"/>
        <v>3</v>
      </c>
      <c r="E674" s="13">
        <v>26.2</v>
      </c>
      <c r="F674" s="13">
        <v>31.8</v>
      </c>
      <c r="G674" s="13">
        <v>28.2</v>
      </c>
      <c r="H674" s="34">
        <v>27.5</v>
      </c>
      <c r="I674" s="13">
        <v>33.200000000000003</v>
      </c>
      <c r="J674" s="13">
        <v>23.4</v>
      </c>
      <c r="K674" s="94" t="s">
        <v>9</v>
      </c>
      <c r="L674" s="40">
        <v>100</v>
      </c>
      <c r="M674"/>
      <c r="N674" s="13">
        <v>1011.9</v>
      </c>
      <c r="O674" s="8">
        <v>58</v>
      </c>
      <c r="P674" s="8">
        <v>49</v>
      </c>
      <c r="Q674" s="8">
        <v>68</v>
      </c>
      <c r="R674" s="8">
        <v>59</v>
      </c>
      <c r="S674" s="20">
        <v>7</v>
      </c>
      <c r="T674" s="6" t="s">
        <v>6</v>
      </c>
      <c r="U674" s="20">
        <v>12</v>
      </c>
      <c r="V674" s="43" t="s">
        <v>6</v>
      </c>
    </row>
    <row r="675" spans="1:22" s="53" customFormat="1" x14ac:dyDescent="0.35">
      <c r="A675" s="2">
        <v>43347</v>
      </c>
      <c r="B675" s="3">
        <f t="shared" si="39"/>
        <v>2018</v>
      </c>
      <c r="C675" s="3">
        <f t="shared" si="40"/>
        <v>9</v>
      </c>
      <c r="D675" s="3">
        <f t="shared" si="41"/>
        <v>4</v>
      </c>
      <c r="E675" s="13">
        <v>24.8</v>
      </c>
      <c r="F675" s="13">
        <v>32</v>
      </c>
      <c r="G675" s="13">
        <v>28.6</v>
      </c>
      <c r="H675" s="34">
        <v>27.8</v>
      </c>
      <c r="I675" s="13">
        <v>33.4</v>
      </c>
      <c r="J675" s="13">
        <v>24.8</v>
      </c>
      <c r="K675" s="94" t="s">
        <v>9</v>
      </c>
      <c r="L675" s="40">
        <v>100</v>
      </c>
      <c r="M675"/>
      <c r="N675" s="13">
        <v>1011.4</v>
      </c>
      <c r="O675" s="8">
        <v>65</v>
      </c>
      <c r="P675" s="8">
        <v>45</v>
      </c>
      <c r="Q675" s="8">
        <v>67</v>
      </c>
      <c r="R675" s="8">
        <v>57</v>
      </c>
      <c r="S675" s="20">
        <v>7</v>
      </c>
      <c r="T675" s="6" t="s">
        <v>6</v>
      </c>
      <c r="U675" s="20">
        <v>13</v>
      </c>
      <c r="V675" s="43" t="s">
        <v>4</v>
      </c>
    </row>
    <row r="676" spans="1:22" s="53" customFormat="1" x14ac:dyDescent="0.35">
      <c r="A676" s="2">
        <v>43348</v>
      </c>
      <c r="B676" s="3">
        <f t="shared" si="39"/>
        <v>2018</v>
      </c>
      <c r="C676" s="3">
        <f t="shared" si="40"/>
        <v>9</v>
      </c>
      <c r="D676" s="3">
        <f t="shared" si="41"/>
        <v>5</v>
      </c>
      <c r="E676" s="13">
        <v>26.4</v>
      </c>
      <c r="F676" s="13">
        <v>31.6</v>
      </c>
      <c r="G676" s="13">
        <v>29.2</v>
      </c>
      <c r="H676" s="34">
        <v>28.4</v>
      </c>
      <c r="I676" s="13">
        <v>32.799999999999997</v>
      </c>
      <c r="J676" s="13">
        <v>24.7</v>
      </c>
      <c r="K676" s="94" t="s">
        <v>9</v>
      </c>
      <c r="L676" s="40">
        <v>59</v>
      </c>
      <c r="M676"/>
      <c r="N676" s="13">
        <v>1010.5</v>
      </c>
      <c r="O676" s="8">
        <v>63</v>
      </c>
      <c r="P676" s="8">
        <v>53</v>
      </c>
      <c r="Q676" s="8">
        <v>65</v>
      </c>
      <c r="R676" s="8">
        <v>61</v>
      </c>
      <c r="S676" s="20">
        <v>6</v>
      </c>
      <c r="T676" s="6" t="s">
        <v>6</v>
      </c>
      <c r="U676" s="20">
        <v>11</v>
      </c>
      <c r="V676" s="43" t="s">
        <v>6</v>
      </c>
    </row>
    <row r="677" spans="1:22" s="53" customFormat="1" x14ac:dyDescent="0.35">
      <c r="A677" s="2">
        <v>43349</v>
      </c>
      <c r="B677" s="3">
        <f t="shared" si="39"/>
        <v>2018</v>
      </c>
      <c r="C677" s="3">
        <f t="shared" si="40"/>
        <v>9</v>
      </c>
      <c r="D677" s="3">
        <f t="shared" si="41"/>
        <v>6</v>
      </c>
      <c r="E677" s="13">
        <v>26.6</v>
      </c>
      <c r="F677" s="13">
        <v>32.4</v>
      </c>
      <c r="G677" s="13">
        <v>29</v>
      </c>
      <c r="H677" s="34">
        <v>28.7</v>
      </c>
      <c r="I677" s="13">
        <v>33.6</v>
      </c>
      <c r="J677" s="13">
        <v>25.2</v>
      </c>
      <c r="K677" s="39">
        <v>0.8</v>
      </c>
      <c r="L677" s="40">
        <v>99</v>
      </c>
      <c r="M677" t="s">
        <v>11</v>
      </c>
      <c r="N677" s="13">
        <v>1009.9</v>
      </c>
      <c r="O677" s="8">
        <v>61</v>
      </c>
      <c r="P677" s="8">
        <v>46</v>
      </c>
      <c r="Q677" s="8">
        <v>66</v>
      </c>
      <c r="R677" s="8">
        <v>62</v>
      </c>
      <c r="S677" s="20">
        <v>7</v>
      </c>
      <c r="T677" s="6" t="s">
        <v>3</v>
      </c>
      <c r="U677" s="20">
        <v>13</v>
      </c>
      <c r="V677" s="43" t="s">
        <v>7</v>
      </c>
    </row>
    <row r="678" spans="1:22" s="53" customFormat="1" x14ac:dyDescent="0.35">
      <c r="A678" s="2">
        <v>43350</v>
      </c>
      <c r="B678" s="3">
        <f t="shared" si="39"/>
        <v>2018</v>
      </c>
      <c r="C678" s="3">
        <f t="shared" si="40"/>
        <v>9</v>
      </c>
      <c r="D678" s="3">
        <f t="shared" si="41"/>
        <v>7</v>
      </c>
      <c r="E678" s="13">
        <v>26.6</v>
      </c>
      <c r="F678" s="13">
        <v>31.4</v>
      </c>
      <c r="G678" s="13">
        <v>28.6</v>
      </c>
      <c r="H678" s="34">
        <v>28</v>
      </c>
      <c r="I678" s="13">
        <v>32.6</v>
      </c>
      <c r="J678" s="13">
        <v>24.2</v>
      </c>
      <c r="K678" s="94" t="s">
        <v>9</v>
      </c>
      <c r="L678" s="40">
        <v>81</v>
      </c>
      <c r="M678"/>
      <c r="N678" s="13">
        <v>1010.4</v>
      </c>
      <c r="O678" s="8">
        <v>71</v>
      </c>
      <c r="P678" s="8">
        <v>58</v>
      </c>
      <c r="Q678" s="8">
        <v>69</v>
      </c>
      <c r="R678" s="8">
        <v>65</v>
      </c>
      <c r="S678" s="20">
        <v>5</v>
      </c>
      <c r="T678" s="6" t="s">
        <v>6</v>
      </c>
      <c r="U678" s="20">
        <v>10</v>
      </c>
      <c r="V678" s="43" t="s">
        <v>7</v>
      </c>
    </row>
    <row r="679" spans="1:22" s="53" customFormat="1" x14ac:dyDescent="0.35">
      <c r="A679" s="2">
        <v>43351</v>
      </c>
      <c r="B679" s="3">
        <f t="shared" si="39"/>
        <v>2018</v>
      </c>
      <c r="C679" s="3">
        <f t="shared" si="40"/>
        <v>9</v>
      </c>
      <c r="D679" s="3">
        <f t="shared" si="41"/>
        <v>8</v>
      </c>
      <c r="E679" s="13">
        <v>26.8</v>
      </c>
      <c r="F679" s="13">
        <v>30.4</v>
      </c>
      <c r="G679" s="13">
        <v>28.1</v>
      </c>
      <c r="H679" s="34">
        <v>27.8</v>
      </c>
      <c r="I679" s="13">
        <v>31.8</v>
      </c>
      <c r="J679" s="13">
        <v>23</v>
      </c>
      <c r="K679" s="94" t="s">
        <v>9</v>
      </c>
      <c r="L679" s="40">
        <v>100</v>
      </c>
      <c r="M679"/>
      <c r="N679" s="13">
        <v>1010</v>
      </c>
      <c r="O679" s="8">
        <v>70</v>
      </c>
      <c r="P679" s="8">
        <v>63</v>
      </c>
      <c r="Q679" s="8">
        <v>77</v>
      </c>
      <c r="R679" s="8">
        <v>73</v>
      </c>
      <c r="S679" s="20">
        <v>6</v>
      </c>
      <c r="T679" s="6" t="s">
        <v>3</v>
      </c>
      <c r="U679" s="20">
        <v>11</v>
      </c>
      <c r="V679" s="43" t="s">
        <v>7</v>
      </c>
    </row>
    <row r="680" spans="1:22" s="53" customFormat="1" x14ac:dyDescent="0.35">
      <c r="A680" s="2">
        <v>43352</v>
      </c>
      <c r="B680" s="3">
        <f t="shared" si="39"/>
        <v>2018</v>
      </c>
      <c r="C680" s="3">
        <f t="shared" si="40"/>
        <v>9</v>
      </c>
      <c r="D680" s="3">
        <f t="shared" si="41"/>
        <v>9</v>
      </c>
      <c r="E680" s="13">
        <v>26.8</v>
      </c>
      <c r="F680" s="13">
        <v>33</v>
      </c>
      <c r="G680" s="13">
        <v>29</v>
      </c>
      <c r="H680" s="34">
        <v>28.1</v>
      </c>
      <c r="I680" s="13">
        <v>33.200000000000003</v>
      </c>
      <c r="J680" s="13">
        <v>22.8</v>
      </c>
      <c r="K680" s="94" t="s">
        <v>9</v>
      </c>
      <c r="L680" s="40">
        <v>100</v>
      </c>
      <c r="M680"/>
      <c r="N680" s="13">
        <v>1010.9</v>
      </c>
      <c r="O680" s="8">
        <v>68</v>
      </c>
      <c r="P680" s="8">
        <v>48</v>
      </c>
      <c r="Q680" s="8">
        <v>63</v>
      </c>
      <c r="R680" s="8">
        <v>64</v>
      </c>
      <c r="S680" s="20">
        <v>7</v>
      </c>
      <c r="T680" s="6" t="s">
        <v>3</v>
      </c>
      <c r="U680" s="20">
        <v>14</v>
      </c>
      <c r="V680" s="43" t="s">
        <v>7</v>
      </c>
    </row>
    <row r="681" spans="1:22" s="53" customFormat="1" x14ac:dyDescent="0.35">
      <c r="A681" s="2">
        <v>43353</v>
      </c>
      <c r="B681" s="3">
        <f t="shared" si="39"/>
        <v>2018</v>
      </c>
      <c r="C681" s="3">
        <f t="shared" si="40"/>
        <v>9</v>
      </c>
      <c r="D681" s="3">
        <f t="shared" si="41"/>
        <v>10</v>
      </c>
      <c r="E681" s="13">
        <v>26</v>
      </c>
      <c r="F681" s="13">
        <v>32</v>
      </c>
      <c r="G681" s="13">
        <v>29.6</v>
      </c>
      <c r="H681" s="34">
        <v>28.3</v>
      </c>
      <c r="I681" s="13">
        <v>32.200000000000003</v>
      </c>
      <c r="J681" s="13">
        <v>23</v>
      </c>
      <c r="K681" s="94" t="s">
        <v>9</v>
      </c>
      <c r="L681" s="40">
        <v>100</v>
      </c>
      <c r="M681"/>
      <c r="N681" s="13">
        <v>1012.5</v>
      </c>
      <c r="O681" s="8">
        <v>71</v>
      </c>
      <c r="P681" s="8">
        <v>56</v>
      </c>
      <c r="Q681" s="8">
        <v>61</v>
      </c>
      <c r="R681" s="8">
        <v>60</v>
      </c>
      <c r="S681" s="20">
        <v>7</v>
      </c>
      <c r="T681" s="6" t="s">
        <v>3</v>
      </c>
      <c r="U681" s="20">
        <v>14</v>
      </c>
      <c r="V681" s="43" t="s">
        <v>7</v>
      </c>
    </row>
    <row r="682" spans="1:22" s="53" customFormat="1" x14ac:dyDescent="0.35">
      <c r="A682" s="2">
        <v>43354</v>
      </c>
      <c r="B682" s="3">
        <f t="shared" si="39"/>
        <v>2018</v>
      </c>
      <c r="C682" s="3">
        <f t="shared" si="40"/>
        <v>9</v>
      </c>
      <c r="D682" s="3">
        <f t="shared" si="41"/>
        <v>11</v>
      </c>
      <c r="E682" s="13">
        <v>26.7</v>
      </c>
      <c r="F682" s="13">
        <v>31.2</v>
      </c>
      <c r="G682" s="13">
        <v>28.5</v>
      </c>
      <c r="H682" s="34">
        <v>28.2</v>
      </c>
      <c r="I682" s="13">
        <v>31.8</v>
      </c>
      <c r="J682" s="13">
        <v>25</v>
      </c>
      <c r="K682" s="94" t="s">
        <v>9</v>
      </c>
      <c r="L682" s="40">
        <v>100</v>
      </c>
      <c r="M682"/>
      <c r="N682" s="13">
        <v>1012.6</v>
      </c>
      <c r="O682" s="8">
        <v>62</v>
      </c>
      <c r="P682" s="8">
        <v>51</v>
      </c>
      <c r="Q682" s="8">
        <v>67</v>
      </c>
      <c r="R682" s="8">
        <v>63</v>
      </c>
      <c r="S682" s="20">
        <v>6</v>
      </c>
      <c r="T682" s="6" t="s">
        <v>7</v>
      </c>
      <c r="U682" s="20">
        <v>12</v>
      </c>
      <c r="V682" s="43" t="s">
        <v>7</v>
      </c>
    </row>
    <row r="683" spans="1:22" s="53" customFormat="1" x14ac:dyDescent="0.35">
      <c r="A683" s="2">
        <v>43355</v>
      </c>
      <c r="B683" s="3">
        <f t="shared" si="39"/>
        <v>2018</v>
      </c>
      <c r="C683" s="3">
        <f t="shared" si="40"/>
        <v>9</v>
      </c>
      <c r="D683" s="3">
        <f t="shared" si="41"/>
        <v>12</v>
      </c>
      <c r="E683" s="13">
        <v>26.6</v>
      </c>
      <c r="F683" s="13">
        <v>33.4</v>
      </c>
      <c r="G683" s="13">
        <v>29</v>
      </c>
      <c r="H683" s="34">
        <v>28.1</v>
      </c>
      <c r="I683" s="13">
        <v>33.6</v>
      </c>
      <c r="J683" s="13">
        <v>22.8</v>
      </c>
      <c r="K683" s="94" t="s">
        <v>9</v>
      </c>
      <c r="L683" s="40">
        <v>100</v>
      </c>
      <c r="M683"/>
      <c r="N683" s="13">
        <v>1011.5</v>
      </c>
      <c r="O683" s="8">
        <v>61</v>
      </c>
      <c r="P683" s="8">
        <v>38</v>
      </c>
      <c r="Q683" s="8">
        <v>56</v>
      </c>
      <c r="R683" s="8">
        <v>55</v>
      </c>
      <c r="S683" s="20">
        <v>6</v>
      </c>
      <c r="T683" s="6" t="s">
        <v>6</v>
      </c>
      <c r="U683" s="20">
        <v>11</v>
      </c>
      <c r="V683" s="43" t="s">
        <v>6</v>
      </c>
    </row>
    <row r="684" spans="1:22" s="53" customFormat="1" x14ac:dyDescent="0.35">
      <c r="A684" s="2">
        <v>43356</v>
      </c>
      <c r="B684" s="3">
        <f t="shared" si="39"/>
        <v>2018</v>
      </c>
      <c r="C684" s="3">
        <f t="shared" si="40"/>
        <v>9</v>
      </c>
      <c r="D684" s="3">
        <f t="shared" si="41"/>
        <v>13</v>
      </c>
      <c r="E684" s="13">
        <v>25.6</v>
      </c>
      <c r="F684" s="13">
        <v>31</v>
      </c>
      <c r="G684" s="13">
        <v>28</v>
      </c>
      <c r="H684" s="34">
        <v>27.5</v>
      </c>
      <c r="I684" s="13">
        <v>32.6</v>
      </c>
      <c r="J684" s="13">
        <v>23.4</v>
      </c>
      <c r="K684" s="94" t="s">
        <v>9</v>
      </c>
      <c r="L684" s="40">
        <v>100</v>
      </c>
      <c r="M684"/>
      <c r="N684" s="13">
        <v>1010.3</v>
      </c>
      <c r="O684" s="8">
        <v>61</v>
      </c>
      <c r="P684" s="8">
        <v>54</v>
      </c>
      <c r="Q684" s="8">
        <v>64</v>
      </c>
      <c r="R684" s="8">
        <v>59</v>
      </c>
      <c r="S684" s="20">
        <v>7</v>
      </c>
      <c r="T684" s="6" t="s">
        <v>6</v>
      </c>
      <c r="U684" s="20">
        <v>13</v>
      </c>
      <c r="V684" s="43" t="s">
        <v>7</v>
      </c>
    </row>
    <row r="685" spans="1:22" s="53" customFormat="1" x14ac:dyDescent="0.35">
      <c r="A685" s="2">
        <v>43357</v>
      </c>
      <c r="B685" s="3">
        <f t="shared" si="39"/>
        <v>2018</v>
      </c>
      <c r="C685" s="3">
        <f t="shared" si="40"/>
        <v>9</v>
      </c>
      <c r="D685" s="3">
        <f t="shared" si="41"/>
        <v>14</v>
      </c>
      <c r="E685" s="13">
        <v>25.4</v>
      </c>
      <c r="F685" s="13">
        <v>30.8</v>
      </c>
      <c r="G685" s="13">
        <v>28.2</v>
      </c>
      <c r="H685" s="34">
        <v>27.2</v>
      </c>
      <c r="I685" s="13">
        <v>32.200000000000003</v>
      </c>
      <c r="J685" s="13">
        <v>23.2</v>
      </c>
      <c r="K685" s="94" t="s">
        <v>9</v>
      </c>
      <c r="L685" s="40">
        <v>68</v>
      </c>
      <c r="M685"/>
      <c r="N685" s="13">
        <v>1010.6</v>
      </c>
      <c r="O685" s="8">
        <v>62</v>
      </c>
      <c r="P685" s="8">
        <v>50</v>
      </c>
      <c r="Q685" s="8">
        <v>65</v>
      </c>
      <c r="R685" s="8">
        <v>61</v>
      </c>
      <c r="S685" s="20">
        <v>6</v>
      </c>
      <c r="T685" s="6" t="s">
        <v>6</v>
      </c>
      <c r="U685" s="20">
        <v>12</v>
      </c>
      <c r="V685" s="43" t="s">
        <v>7</v>
      </c>
    </row>
    <row r="686" spans="1:22" s="53" customFormat="1" x14ac:dyDescent="0.35">
      <c r="A686" s="2">
        <v>43358</v>
      </c>
      <c r="B686" s="3">
        <f t="shared" si="39"/>
        <v>2018</v>
      </c>
      <c r="C686" s="3">
        <f t="shared" si="40"/>
        <v>9</v>
      </c>
      <c r="D686" s="3">
        <f t="shared" si="41"/>
        <v>15</v>
      </c>
      <c r="E686" s="13">
        <v>25</v>
      </c>
      <c r="F686" s="13">
        <v>30.8</v>
      </c>
      <c r="G686" s="13">
        <v>28.4</v>
      </c>
      <c r="H686" s="34">
        <v>27.2</v>
      </c>
      <c r="I686" s="13">
        <v>31.8</v>
      </c>
      <c r="J686" s="13">
        <v>22.5</v>
      </c>
      <c r="K686" s="94" t="s">
        <v>9</v>
      </c>
      <c r="L686" s="40">
        <v>100</v>
      </c>
      <c r="M686"/>
      <c r="N686" s="13">
        <v>1011.3</v>
      </c>
      <c r="O686" s="8">
        <v>64</v>
      </c>
      <c r="P686" s="8">
        <v>48</v>
      </c>
      <c r="Q686" s="8">
        <v>60</v>
      </c>
      <c r="R686" s="8">
        <v>61</v>
      </c>
      <c r="S686" s="20">
        <v>6</v>
      </c>
      <c r="T686" s="6" t="s">
        <v>7</v>
      </c>
      <c r="U686" s="20">
        <v>13</v>
      </c>
      <c r="V686" s="43" t="s">
        <v>7</v>
      </c>
    </row>
    <row r="687" spans="1:22" s="53" customFormat="1" x14ac:dyDescent="0.35">
      <c r="A687" s="2">
        <v>43359</v>
      </c>
      <c r="B687" s="3">
        <f t="shared" si="39"/>
        <v>2018</v>
      </c>
      <c r="C687" s="3">
        <f t="shared" si="40"/>
        <v>9</v>
      </c>
      <c r="D687" s="3">
        <f t="shared" si="41"/>
        <v>16</v>
      </c>
      <c r="E687" s="13">
        <v>26.4</v>
      </c>
      <c r="F687" s="13">
        <v>30.6</v>
      </c>
      <c r="G687" s="13">
        <v>28.6</v>
      </c>
      <c r="H687" s="34">
        <v>27.8</v>
      </c>
      <c r="I687" s="13">
        <v>31.8</v>
      </c>
      <c r="J687" s="13">
        <v>23.2</v>
      </c>
      <c r="K687" s="94" t="s">
        <v>9</v>
      </c>
      <c r="L687" s="40">
        <v>99</v>
      </c>
      <c r="M687"/>
      <c r="N687" s="13">
        <v>1009.2</v>
      </c>
      <c r="O687" s="8">
        <v>63</v>
      </c>
      <c r="P687" s="8">
        <v>56</v>
      </c>
      <c r="Q687" s="8">
        <v>70</v>
      </c>
      <c r="R687" s="8">
        <v>65</v>
      </c>
      <c r="S687" s="20">
        <v>6</v>
      </c>
      <c r="T687" s="6" t="s">
        <v>7</v>
      </c>
      <c r="U687" s="20">
        <v>15</v>
      </c>
      <c r="V687" s="43" t="s">
        <v>7</v>
      </c>
    </row>
    <row r="688" spans="1:22" s="53" customFormat="1" x14ac:dyDescent="0.35">
      <c r="A688" s="2">
        <v>43360</v>
      </c>
      <c r="B688" s="3">
        <f t="shared" si="39"/>
        <v>2018</v>
      </c>
      <c r="C688" s="3">
        <f t="shared" si="40"/>
        <v>9</v>
      </c>
      <c r="D688" s="3">
        <f t="shared" si="41"/>
        <v>17</v>
      </c>
      <c r="E688" s="13">
        <v>26.3</v>
      </c>
      <c r="F688" s="13">
        <v>30.5</v>
      </c>
      <c r="G688" s="13">
        <v>28.2</v>
      </c>
      <c r="H688" s="34">
        <v>27.9</v>
      </c>
      <c r="I688" s="13">
        <v>31.6</v>
      </c>
      <c r="J688" s="13">
        <v>24</v>
      </c>
      <c r="K688" s="94" t="s">
        <v>9</v>
      </c>
      <c r="L688" s="40">
        <v>96</v>
      </c>
      <c r="M688"/>
      <c r="N688" s="13">
        <v>1009.6</v>
      </c>
      <c r="O688" s="8">
        <v>69</v>
      </c>
      <c r="P688" s="8">
        <v>60</v>
      </c>
      <c r="Q688" s="8">
        <v>73</v>
      </c>
      <c r="R688" s="8">
        <v>69</v>
      </c>
      <c r="S688" s="20">
        <v>5</v>
      </c>
      <c r="T688" s="6" t="s">
        <v>7</v>
      </c>
      <c r="U688" s="20">
        <v>11</v>
      </c>
      <c r="V688" s="12" t="s">
        <v>3</v>
      </c>
    </row>
    <row r="689" spans="1:22" s="53" customFormat="1" x14ac:dyDescent="0.35">
      <c r="A689" s="2">
        <v>43361</v>
      </c>
      <c r="B689" s="3">
        <f t="shared" si="39"/>
        <v>2018</v>
      </c>
      <c r="C689" s="3">
        <f t="shared" si="40"/>
        <v>9</v>
      </c>
      <c r="D689" s="3">
        <f t="shared" si="41"/>
        <v>18</v>
      </c>
      <c r="E689" s="13">
        <v>26.8</v>
      </c>
      <c r="F689" s="13">
        <v>30.4</v>
      </c>
      <c r="G689" s="13">
        <v>28.6</v>
      </c>
      <c r="H689" s="34">
        <v>28.1</v>
      </c>
      <c r="I689" s="13">
        <v>32</v>
      </c>
      <c r="J689" s="13">
        <v>25</v>
      </c>
      <c r="K689" s="94" t="s">
        <v>9</v>
      </c>
      <c r="L689" s="40">
        <v>55</v>
      </c>
      <c r="M689"/>
      <c r="N689" s="13">
        <v>1010.3</v>
      </c>
      <c r="O689" s="8">
        <v>71</v>
      </c>
      <c r="P689" s="8">
        <v>63</v>
      </c>
      <c r="Q689" s="8">
        <v>66</v>
      </c>
      <c r="R689" s="8">
        <v>66</v>
      </c>
      <c r="S689" s="20">
        <v>7</v>
      </c>
      <c r="T689" s="6" t="s">
        <v>7</v>
      </c>
      <c r="U689" s="20">
        <v>12</v>
      </c>
      <c r="V689" s="43" t="s">
        <v>3</v>
      </c>
    </row>
    <row r="690" spans="1:22" s="53" customFormat="1" x14ac:dyDescent="0.35">
      <c r="A690" s="2">
        <v>43362</v>
      </c>
      <c r="B690" s="3">
        <f t="shared" si="39"/>
        <v>2018</v>
      </c>
      <c r="C690" s="3">
        <f t="shared" si="40"/>
        <v>9</v>
      </c>
      <c r="D690" s="3">
        <f t="shared" si="41"/>
        <v>19</v>
      </c>
      <c r="E690" s="13">
        <v>27.4</v>
      </c>
      <c r="F690" s="13">
        <v>30.6</v>
      </c>
      <c r="G690" s="13">
        <v>28</v>
      </c>
      <c r="H690" s="34">
        <v>28.2</v>
      </c>
      <c r="I690" s="13">
        <v>32</v>
      </c>
      <c r="J690" s="13">
        <v>25.8</v>
      </c>
      <c r="K690" s="39">
        <v>0</v>
      </c>
      <c r="L690" s="40">
        <v>26</v>
      </c>
      <c r="M690" t="s">
        <v>11</v>
      </c>
      <c r="N690" s="13">
        <v>1010.5</v>
      </c>
      <c r="O690" s="8">
        <v>65</v>
      </c>
      <c r="P690" s="8">
        <v>57</v>
      </c>
      <c r="Q690" s="8">
        <v>78</v>
      </c>
      <c r="R690" s="8">
        <v>70</v>
      </c>
      <c r="S690" s="20">
        <v>4</v>
      </c>
      <c r="T690" s="6" t="s">
        <v>19</v>
      </c>
      <c r="U690" s="20">
        <v>13</v>
      </c>
      <c r="V690" s="43" t="s">
        <v>7</v>
      </c>
    </row>
    <row r="691" spans="1:22" s="53" customFormat="1" x14ac:dyDescent="0.35">
      <c r="A691" s="2">
        <v>43363</v>
      </c>
      <c r="B691" s="3">
        <f t="shared" si="39"/>
        <v>2018</v>
      </c>
      <c r="C691" s="3">
        <f t="shared" si="40"/>
        <v>9</v>
      </c>
      <c r="D691" s="3">
        <f t="shared" si="41"/>
        <v>20</v>
      </c>
      <c r="E691" s="13">
        <v>27</v>
      </c>
      <c r="F691" s="13">
        <v>30.4</v>
      </c>
      <c r="G691" s="13">
        <v>28.4</v>
      </c>
      <c r="H691" s="34">
        <v>28.1</v>
      </c>
      <c r="I691" s="13">
        <v>31</v>
      </c>
      <c r="J691" s="13">
        <v>26.5</v>
      </c>
      <c r="K691" s="94" t="s">
        <v>9</v>
      </c>
      <c r="L691" s="40">
        <v>4</v>
      </c>
      <c r="M691"/>
      <c r="N691" s="13">
        <v>1010.1</v>
      </c>
      <c r="O691" s="8">
        <v>76</v>
      </c>
      <c r="P691" s="8">
        <v>69</v>
      </c>
      <c r="Q691" s="8">
        <v>75</v>
      </c>
      <c r="R691" s="8">
        <v>73</v>
      </c>
      <c r="S691" s="20">
        <v>4</v>
      </c>
      <c r="T691" s="6" t="s">
        <v>7</v>
      </c>
      <c r="U691" s="20">
        <v>11</v>
      </c>
      <c r="V691" s="12" t="s">
        <v>3</v>
      </c>
    </row>
    <row r="692" spans="1:22" s="53" customFormat="1" x14ac:dyDescent="0.35">
      <c r="A692" s="2">
        <v>43364</v>
      </c>
      <c r="B692" s="3">
        <f t="shared" si="39"/>
        <v>2018</v>
      </c>
      <c r="C692" s="3">
        <f t="shared" si="40"/>
        <v>9</v>
      </c>
      <c r="D692" s="3">
        <f t="shared" si="41"/>
        <v>21</v>
      </c>
      <c r="E692" s="13">
        <v>27.4</v>
      </c>
      <c r="F692" s="13">
        <v>32.4</v>
      </c>
      <c r="G692" s="13">
        <v>28.8</v>
      </c>
      <c r="H692" s="34">
        <v>28.9</v>
      </c>
      <c r="I692" s="13">
        <v>33.6</v>
      </c>
      <c r="J692" s="13">
        <v>25.4</v>
      </c>
      <c r="K692" s="94" t="s">
        <v>9</v>
      </c>
      <c r="L692" s="40">
        <v>93</v>
      </c>
      <c r="M692"/>
      <c r="N692" s="13">
        <v>1011.4</v>
      </c>
      <c r="O692" s="8">
        <v>71</v>
      </c>
      <c r="P692" s="8">
        <v>60</v>
      </c>
      <c r="Q692" s="8">
        <v>72</v>
      </c>
      <c r="R692" s="8">
        <v>70</v>
      </c>
      <c r="S692" s="20">
        <v>4</v>
      </c>
      <c r="T692" s="6" t="s">
        <v>19</v>
      </c>
      <c r="U692" s="20">
        <v>12</v>
      </c>
      <c r="V692" s="12" t="s">
        <v>7</v>
      </c>
    </row>
    <row r="693" spans="1:22" s="53" customFormat="1" x14ac:dyDescent="0.35">
      <c r="A693" s="2">
        <v>43365</v>
      </c>
      <c r="B693" s="3">
        <f t="shared" si="39"/>
        <v>2018</v>
      </c>
      <c r="C693" s="3">
        <f t="shared" si="40"/>
        <v>9</v>
      </c>
      <c r="D693" s="3">
        <f t="shared" si="41"/>
        <v>22</v>
      </c>
      <c r="E693" s="13">
        <v>27.2</v>
      </c>
      <c r="F693" s="13">
        <v>31.6</v>
      </c>
      <c r="G693" s="13">
        <v>28.6</v>
      </c>
      <c r="H693" s="34">
        <v>28.2</v>
      </c>
      <c r="I693" s="13">
        <v>31.7</v>
      </c>
      <c r="J693" s="13">
        <v>23.9</v>
      </c>
      <c r="K693" s="94" t="s">
        <v>9</v>
      </c>
      <c r="L693" s="40">
        <v>100</v>
      </c>
      <c r="M693"/>
      <c r="N693" s="13">
        <v>1012.8</v>
      </c>
      <c r="O693" s="8">
        <v>66</v>
      </c>
      <c r="P693" s="8">
        <v>56</v>
      </c>
      <c r="Q693" s="8">
        <v>66</v>
      </c>
      <c r="R693" s="8">
        <v>70</v>
      </c>
      <c r="S693" s="20">
        <v>6</v>
      </c>
      <c r="T693" s="6" t="s">
        <v>7</v>
      </c>
      <c r="U693" s="20">
        <v>14</v>
      </c>
      <c r="V693" s="43" t="s">
        <v>7</v>
      </c>
    </row>
    <row r="694" spans="1:22" s="53" customFormat="1" x14ac:dyDescent="0.35">
      <c r="A694" s="2">
        <v>43366</v>
      </c>
      <c r="B694" s="3">
        <f t="shared" si="39"/>
        <v>2018</v>
      </c>
      <c r="C694" s="3">
        <f t="shared" si="40"/>
        <v>9</v>
      </c>
      <c r="D694" s="3">
        <f t="shared" si="41"/>
        <v>23</v>
      </c>
      <c r="E694" s="13">
        <v>27</v>
      </c>
      <c r="F694" s="13">
        <v>31.9</v>
      </c>
      <c r="G694" s="13">
        <v>29</v>
      </c>
      <c r="H694" s="34">
        <v>28.3</v>
      </c>
      <c r="I694" s="13">
        <v>33</v>
      </c>
      <c r="J694" s="13">
        <v>24.2</v>
      </c>
      <c r="K694" s="94" t="s">
        <v>9</v>
      </c>
      <c r="L694" s="40">
        <v>100</v>
      </c>
      <c r="M694"/>
      <c r="N694" s="13">
        <v>1012.6</v>
      </c>
      <c r="O694" s="8">
        <v>68</v>
      </c>
      <c r="P694" s="8">
        <v>57</v>
      </c>
      <c r="Q694" s="8">
        <v>66</v>
      </c>
      <c r="R694" s="8">
        <v>67</v>
      </c>
      <c r="S694" s="20">
        <v>6</v>
      </c>
      <c r="T694" s="6" t="s">
        <v>6</v>
      </c>
      <c r="U694" s="20">
        <v>12</v>
      </c>
      <c r="V694" s="43" t="s">
        <v>7</v>
      </c>
    </row>
    <row r="695" spans="1:22" s="53" customFormat="1" x14ac:dyDescent="0.35">
      <c r="A695" s="2">
        <v>43367</v>
      </c>
      <c r="B695" s="3">
        <f t="shared" si="39"/>
        <v>2018</v>
      </c>
      <c r="C695" s="3">
        <f t="shared" si="40"/>
        <v>9</v>
      </c>
      <c r="D695" s="3">
        <f t="shared" si="41"/>
        <v>24</v>
      </c>
      <c r="E695" s="13">
        <v>26</v>
      </c>
      <c r="F695" s="13">
        <v>31.2</v>
      </c>
      <c r="G695" s="13">
        <v>28.6</v>
      </c>
      <c r="H695" s="34">
        <v>28.2</v>
      </c>
      <c r="I695" s="13">
        <v>32</v>
      </c>
      <c r="J695" s="13">
        <v>23.4</v>
      </c>
      <c r="K695" s="94" t="s">
        <v>9</v>
      </c>
      <c r="L695" s="40">
        <v>96</v>
      </c>
      <c r="M695"/>
      <c r="N695" s="13">
        <v>1011.4</v>
      </c>
      <c r="O695" s="8">
        <v>72</v>
      </c>
      <c r="P695" s="8">
        <v>60</v>
      </c>
      <c r="Q695" s="8">
        <v>74</v>
      </c>
      <c r="R695" s="8">
        <v>70</v>
      </c>
      <c r="S695" s="20">
        <v>6</v>
      </c>
      <c r="T695" s="6" t="s">
        <v>7</v>
      </c>
      <c r="U695" s="20">
        <v>12</v>
      </c>
      <c r="V695" s="43" t="s">
        <v>7</v>
      </c>
    </row>
    <row r="696" spans="1:22" s="53" customFormat="1" x14ac:dyDescent="0.35">
      <c r="A696" s="2">
        <v>43368</v>
      </c>
      <c r="B696" s="3">
        <f t="shared" si="39"/>
        <v>2018</v>
      </c>
      <c r="C696" s="3">
        <f t="shared" si="40"/>
        <v>9</v>
      </c>
      <c r="D696" s="3">
        <f t="shared" si="41"/>
        <v>25</v>
      </c>
      <c r="E696" s="13">
        <v>26.5</v>
      </c>
      <c r="F696" s="13">
        <v>32.6</v>
      </c>
      <c r="G696" s="13">
        <v>29.6</v>
      </c>
      <c r="H696" s="34">
        <v>29.1</v>
      </c>
      <c r="I696" s="13">
        <v>33.299999999999997</v>
      </c>
      <c r="J696" s="13">
        <v>25.2</v>
      </c>
      <c r="K696" s="94" t="s">
        <v>9</v>
      </c>
      <c r="L696" s="40">
        <v>98</v>
      </c>
      <c r="M696"/>
      <c r="N696" s="13">
        <v>1010.4</v>
      </c>
      <c r="O696" s="8">
        <v>69</v>
      </c>
      <c r="P696" s="8">
        <v>53</v>
      </c>
      <c r="Q696" s="8">
        <v>66</v>
      </c>
      <c r="R696" s="8">
        <v>63</v>
      </c>
      <c r="S696" s="20">
        <v>5</v>
      </c>
      <c r="T696" s="6" t="s">
        <v>7</v>
      </c>
      <c r="U696" s="20">
        <v>11</v>
      </c>
      <c r="V696" s="43" t="s">
        <v>7</v>
      </c>
    </row>
    <row r="697" spans="1:22" s="53" customFormat="1" x14ac:dyDescent="0.35">
      <c r="A697" s="2">
        <v>43369</v>
      </c>
      <c r="B697" s="3">
        <f t="shared" si="39"/>
        <v>2018</v>
      </c>
      <c r="C697" s="3">
        <f t="shared" si="40"/>
        <v>9</v>
      </c>
      <c r="D697" s="3">
        <f t="shared" si="41"/>
        <v>26</v>
      </c>
      <c r="E697" s="13">
        <v>26.9</v>
      </c>
      <c r="F697" s="13">
        <v>31</v>
      </c>
      <c r="G697" s="13">
        <v>28.8</v>
      </c>
      <c r="H697" s="34">
        <v>28.3</v>
      </c>
      <c r="I697" s="13">
        <v>31.6</v>
      </c>
      <c r="J697" s="13">
        <v>24.4</v>
      </c>
      <c r="K697" s="94" t="s">
        <v>9</v>
      </c>
      <c r="L697" s="40">
        <v>98</v>
      </c>
      <c r="M697"/>
      <c r="N697" s="13">
        <v>1010.8</v>
      </c>
      <c r="O697" s="8">
        <v>65</v>
      </c>
      <c r="P697" s="8">
        <v>59</v>
      </c>
      <c r="Q697" s="8">
        <v>74</v>
      </c>
      <c r="R697" s="8">
        <v>67</v>
      </c>
      <c r="S697" s="20">
        <v>6</v>
      </c>
      <c r="T697" s="6" t="s">
        <v>3</v>
      </c>
      <c r="U697" s="20">
        <v>12</v>
      </c>
      <c r="V697" s="12" t="s">
        <v>7</v>
      </c>
    </row>
    <row r="698" spans="1:22" s="53" customFormat="1" x14ac:dyDescent="0.35">
      <c r="A698" s="2">
        <v>43370</v>
      </c>
      <c r="B698" s="3">
        <f t="shared" si="39"/>
        <v>2018</v>
      </c>
      <c r="C698" s="3">
        <f t="shared" si="40"/>
        <v>9</v>
      </c>
      <c r="D698" s="3">
        <f t="shared" si="41"/>
        <v>27</v>
      </c>
      <c r="E698" s="13">
        <v>26</v>
      </c>
      <c r="F698" s="13">
        <v>30</v>
      </c>
      <c r="G698" s="13">
        <v>28.4</v>
      </c>
      <c r="H698" s="34">
        <v>27.5</v>
      </c>
      <c r="I698" s="13">
        <v>31.4</v>
      </c>
      <c r="J698" s="13">
        <v>23</v>
      </c>
      <c r="K698" s="94" t="s">
        <v>9</v>
      </c>
      <c r="L698" s="40">
        <v>98</v>
      </c>
      <c r="M698"/>
      <c r="N698" s="13">
        <v>1010.5</v>
      </c>
      <c r="O698" s="8">
        <v>67</v>
      </c>
      <c r="P698" s="8">
        <v>63</v>
      </c>
      <c r="Q698" s="8">
        <v>68</v>
      </c>
      <c r="R698" s="8">
        <v>66</v>
      </c>
      <c r="S698" s="20">
        <v>6</v>
      </c>
      <c r="T698" s="6" t="s">
        <v>7</v>
      </c>
      <c r="U698" s="20">
        <v>13</v>
      </c>
      <c r="V698" s="12" t="s">
        <v>7</v>
      </c>
    </row>
    <row r="699" spans="1:22" s="53" customFormat="1" x14ac:dyDescent="0.35">
      <c r="A699" s="2">
        <v>43371</v>
      </c>
      <c r="B699" s="3">
        <f t="shared" si="39"/>
        <v>2018</v>
      </c>
      <c r="C699" s="3">
        <f t="shared" si="40"/>
        <v>9</v>
      </c>
      <c r="D699" s="3">
        <f t="shared" si="41"/>
        <v>28</v>
      </c>
      <c r="E699" s="13">
        <v>25.6</v>
      </c>
      <c r="F699" s="13">
        <v>32</v>
      </c>
      <c r="G699" s="13">
        <v>28.2</v>
      </c>
      <c r="H699" s="34">
        <v>28.1</v>
      </c>
      <c r="I699" s="13">
        <v>32.4</v>
      </c>
      <c r="J699" s="13">
        <v>24.2</v>
      </c>
      <c r="K699" s="94" t="s">
        <v>9</v>
      </c>
      <c r="L699" s="40">
        <v>98</v>
      </c>
      <c r="M699"/>
      <c r="N699" s="13">
        <v>1009.8</v>
      </c>
      <c r="O699" s="8">
        <v>65</v>
      </c>
      <c r="P699" s="8">
        <v>42</v>
      </c>
      <c r="Q699" s="8">
        <v>73</v>
      </c>
      <c r="R699" s="8">
        <v>64</v>
      </c>
      <c r="S699" s="20">
        <v>6</v>
      </c>
      <c r="T699" s="6" t="s">
        <v>7</v>
      </c>
      <c r="U699" s="20">
        <v>12</v>
      </c>
      <c r="V699" s="12" t="s">
        <v>7</v>
      </c>
    </row>
    <row r="700" spans="1:22" s="53" customFormat="1" x14ac:dyDescent="0.35">
      <c r="A700" s="2">
        <v>43372</v>
      </c>
      <c r="B700" s="3">
        <f t="shared" si="39"/>
        <v>2018</v>
      </c>
      <c r="C700" s="3">
        <f t="shared" si="40"/>
        <v>9</v>
      </c>
      <c r="D700" s="3">
        <f t="shared" si="41"/>
        <v>29</v>
      </c>
      <c r="E700" s="13">
        <v>26.8</v>
      </c>
      <c r="F700" s="13">
        <v>31.6</v>
      </c>
      <c r="G700" s="13">
        <v>28.8</v>
      </c>
      <c r="H700" s="34">
        <v>28.3</v>
      </c>
      <c r="I700" s="13">
        <v>32.4</v>
      </c>
      <c r="J700" s="13">
        <v>23.2</v>
      </c>
      <c r="K700" s="94" t="s">
        <v>9</v>
      </c>
      <c r="L700" s="40">
        <v>98</v>
      </c>
      <c r="M700"/>
      <c r="N700" s="13">
        <v>1009.9</v>
      </c>
      <c r="O700" s="8">
        <v>70</v>
      </c>
      <c r="P700" s="8">
        <v>56</v>
      </c>
      <c r="Q700" s="8">
        <v>71</v>
      </c>
      <c r="R700" s="8">
        <v>69</v>
      </c>
      <c r="S700" s="20">
        <v>6</v>
      </c>
      <c r="T700" s="6" t="s">
        <v>3</v>
      </c>
      <c r="U700" s="20">
        <v>13</v>
      </c>
      <c r="V700" s="12" t="s">
        <v>3</v>
      </c>
    </row>
    <row r="701" spans="1:22" s="53" customFormat="1" x14ac:dyDescent="0.35">
      <c r="A701" s="2">
        <v>43373</v>
      </c>
      <c r="B701" s="3">
        <f t="shared" si="39"/>
        <v>2018</v>
      </c>
      <c r="C701" s="3">
        <f t="shared" si="40"/>
        <v>9</v>
      </c>
      <c r="D701" s="3">
        <f t="shared" si="41"/>
        <v>30</v>
      </c>
      <c r="E701" s="13">
        <v>27</v>
      </c>
      <c r="F701" s="13">
        <v>31.2</v>
      </c>
      <c r="G701" s="13">
        <v>29</v>
      </c>
      <c r="H701" s="34">
        <v>28.4</v>
      </c>
      <c r="I701" s="13">
        <v>31.6</v>
      </c>
      <c r="J701" s="13">
        <v>25</v>
      </c>
      <c r="K701" s="94" t="s">
        <v>9</v>
      </c>
      <c r="L701" s="40">
        <v>98</v>
      </c>
      <c r="M701"/>
      <c r="N701" s="13">
        <v>1009.7</v>
      </c>
      <c r="O701" s="8">
        <v>68</v>
      </c>
      <c r="P701" s="8">
        <v>62</v>
      </c>
      <c r="Q701" s="8">
        <v>70</v>
      </c>
      <c r="R701" s="8">
        <v>71</v>
      </c>
      <c r="S701" s="20">
        <v>8</v>
      </c>
      <c r="T701" s="6" t="s">
        <v>7</v>
      </c>
      <c r="U701" s="20">
        <v>14</v>
      </c>
      <c r="V701" s="12" t="s">
        <v>7</v>
      </c>
    </row>
    <row r="702" spans="1:22" s="53" customFormat="1" x14ac:dyDescent="0.35">
      <c r="A702" s="2">
        <v>43374</v>
      </c>
      <c r="B702" s="3">
        <f t="shared" si="39"/>
        <v>2018</v>
      </c>
      <c r="C702" s="3">
        <f t="shared" si="40"/>
        <v>10</v>
      </c>
      <c r="D702" s="3">
        <f t="shared" si="41"/>
        <v>1</v>
      </c>
      <c r="E702" s="13">
        <v>26.9</v>
      </c>
      <c r="F702" s="13">
        <v>31.2</v>
      </c>
      <c r="G702" s="13">
        <v>29</v>
      </c>
      <c r="H702" s="34">
        <v>28.5</v>
      </c>
      <c r="I702" s="39">
        <v>31.8</v>
      </c>
      <c r="J702" s="39">
        <v>25</v>
      </c>
      <c r="K702" s="95" t="s">
        <v>9</v>
      </c>
      <c r="L702" s="40">
        <v>98</v>
      </c>
      <c r="M702"/>
      <c r="N702" s="10">
        <v>1009.9</v>
      </c>
      <c r="O702" s="11">
        <v>71</v>
      </c>
      <c r="P702" s="11">
        <v>61</v>
      </c>
      <c r="Q702" s="11">
        <v>71</v>
      </c>
      <c r="R702" s="8">
        <v>70</v>
      </c>
      <c r="S702" s="20">
        <v>6</v>
      </c>
      <c r="T702" s="6" t="s">
        <v>3</v>
      </c>
      <c r="U702" s="20">
        <v>14</v>
      </c>
      <c r="V702" s="43" t="s">
        <v>2</v>
      </c>
    </row>
    <row r="703" spans="1:22" s="53" customFormat="1" x14ac:dyDescent="0.35">
      <c r="A703" s="2">
        <v>43375</v>
      </c>
      <c r="B703" s="3">
        <f t="shared" si="39"/>
        <v>2018</v>
      </c>
      <c r="C703" s="3">
        <f t="shared" si="40"/>
        <v>10</v>
      </c>
      <c r="D703" s="3">
        <f t="shared" si="41"/>
        <v>2</v>
      </c>
      <c r="E703" s="13">
        <v>27</v>
      </c>
      <c r="F703" s="13">
        <v>31.7</v>
      </c>
      <c r="G703" s="13">
        <v>29</v>
      </c>
      <c r="H703" s="34">
        <v>28.7</v>
      </c>
      <c r="I703" s="39">
        <v>32</v>
      </c>
      <c r="J703" s="39">
        <v>25.4</v>
      </c>
      <c r="K703" s="95" t="s">
        <v>9</v>
      </c>
      <c r="L703" s="40">
        <v>98</v>
      </c>
      <c r="M703"/>
      <c r="N703" s="10">
        <v>1010</v>
      </c>
      <c r="O703" s="11">
        <v>70</v>
      </c>
      <c r="P703" s="11">
        <v>63</v>
      </c>
      <c r="Q703" s="11">
        <v>70</v>
      </c>
      <c r="R703" s="8">
        <v>71</v>
      </c>
      <c r="S703" s="20">
        <v>7</v>
      </c>
      <c r="T703" s="6" t="s">
        <v>7</v>
      </c>
      <c r="U703" s="20">
        <v>14</v>
      </c>
      <c r="V703" s="43" t="s">
        <v>7</v>
      </c>
    </row>
    <row r="704" spans="1:22" s="53" customFormat="1" x14ac:dyDescent="0.35">
      <c r="A704" s="2">
        <v>43376</v>
      </c>
      <c r="B704" s="3">
        <f t="shared" si="39"/>
        <v>2018</v>
      </c>
      <c r="C704" s="3">
        <f t="shared" si="40"/>
        <v>10</v>
      </c>
      <c r="D704" s="3">
        <f t="shared" si="41"/>
        <v>3</v>
      </c>
      <c r="E704" s="13">
        <v>27.2</v>
      </c>
      <c r="F704" s="13">
        <v>31.5</v>
      </c>
      <c r="G704" s="13">
        <v>28.6</v>
      </c>
      <c r="H704" s="34">
        <v>28.5</v>
      </c>
      <c r="I704" s="39">
        <v>31.6</v>
      </c>
      <c r="J704" s="39">
        <v>24.8</v>
      </c>
      <c r="K704" s="95" t="s">
        <v>9</v>
      </c>
      <c r="L704" s="40">
        <v>98</v>
      </c>
      <c r="M704"/>
      <c r="N704" s="10">
        <v>1010.8</v>
      </c>
      <c r="O704" s="11">
        <v>71</v>
      </c>
      <c r="P704" s="11">
        <v>67</v>
      </c>
      <c r="Q704" s="11">
        <v>78</v>
      </c>
      <c r="R704" s="8">
        <v>73</v>
      </c>
      <c r="S704" s="20">
        <v>7</v>
      </c>
      <c r="T704" s="6" t="s">
        <v>3</v>
      </c>
      <c r="U704" s="20">
        <v>16</v>
      </c>
      <c r="V704" s="43" t="s">
        <v>7</v>
      </c>
    </row>
    <row r="705" spans="1:22" s="53" customFormat="1" x14ac:dyDescent="0.35">
      <c r="A705" s="2">
        <v>43377</v>
      </c>
      <c r="B705" s="3">
        <f t="shared" si="39"/>
        <v>2018</v>
      </c>
      <c r="C705" s="3">
        <f t="shared" si="40"/>
        <v>10</v>
      </c>
      <c r="D705" s="3">
        <f t="shared" si="41"/>
        <v>4</v>
      </c>
      <c r="E705" s="13">
        <v>26.4</v>
      </c>
      <c r="F705" s="13">
        <v>31.6</v>
      </c>
      <c r="G705" s="13">
        <v>28.6</v>
      </c>
      <c r="H705" s="34">
        <v>28.3</v>
      </c>
      <c r="I705" s="39">
        <v>32.4</v>
      </c>
      <c r="J705" s="39">
        <v>24.4</v>
      </c>
      <c r="K705" s="95" t="s">
        <v>9</v>
      </c>
      <c r="L705" s="40">
        <v>98</v>
      </c>
      <c r="M705"/>
      <c r="N705" s="10">
        <v>1010.6</v>
      </c>
      <c r="O705" s="11">
        <v>72</v>
      </c>
      <c r="P705" s="11">
        <v>56</v>
      </c>
      <c r="Q705" s="11">
        <v>70</v>
      </c>
      <c r="R705" s="8">
        <v>70</v>
      </c>
      <c r="S705" s="20">
        <v>8</v>
      </c>
      <c r="T705" s="6" t="s">
        <v>3</v>
      </c>
      <c r="U705" s="20">
        <v>16</v>
      </c>
      <c r="V705" s="43" t="s">
        <v>3</v>
      </c>
    </row>
    <row r="706" spans="1:22" s="53" customFormat="1" x14ac:dyDescent="0.35">
      <c r="A706" s="2">
        <v>43378</v>
      </c>
      <c r="B706" s="3">
        <f t="shared" si="39"/>
        <v>2018</v>
      </c>
      <c r="C706" s="3">
        <f t="shared" si="40"/>
        <v>10</v>
      </c>
      <c r="D706" s="3">
        <f t="shared" si="41"/>
        <v>5</v>
      </c>
      <c r="E706" s="13">
        <v>26.8</v>
      </c>
      <c r="F706" s="13">
        <v>31.2</v>
      </c>
      <c r="G706" s="13">
        <v>29</v>
      </c>
      <c r="H706" s="34">
        <v>28.3</v>
      </c>
      <c r="I706" s="39">
        <v>31.6</v>
      </c>
      <c r="J706" s="39">
        <v>24.6</v>
      </c>
      <c r="K706" s="95" t="s">
        <v>9</v>
      </c>
      <c r="L706" s="40">
        <v>98</v>
      </c>
      <c r="M706"/>
      <c r="N706" s="10">
        <v>1010.7</v>
      </c>
      <c r="O706" s="11">
        <v>73</v>
      </c>
      <c r="P706" s="11">
        <v>64</v>
      </c>
      <c r="Q706" s="11">
        <v>66</v>
      </c>
      <c r="R706" s="8">
        <v>72</v>
      </c>
      <c r="S706" s="20">
        <v>7</v>
      </c>
      <c r="T706" s="6" t="s">
        <v>8</v>
      </c>
      <c r="U706" s="20">
        <v>14</v>
      </c>
      <c r="V706" s="43" t="s">
        <v>7</v>
      </c>
    </row>
    <row r="707" spans="1:22" s="53" customFormat="1" x14ac:dyDescent="0.35">
      <c r="A707" s="2">
        <v>43379</v>
      </c>
      <c r="B707" s="3">
        <f t="shared" si="39"/>
        <v>2018</v>
      </c>
      <c r="C707" s="3">
        <f t="shared" si="40"/>
        <v>10</v>
      </c>
      <c r="D707" s="3">
        <f t="shared" si="41"/>
        <v>6</v>
      </c>
      <c r="E707" s="13">
        <v>26.2</v>
      </c>
      <c r="F707" s="13">
        <v>30.9</v>
      </c>
      <c r="G707" s="13">
        <v>29.2</v>
      </c>
      <c r="H707" s="34">
        <v>28.3</v>
      </c>
      <c r="I707" s="39">
        <v>32</v>
      </c>
      <c r="J707" s="39">
        <v>23</v>
      </c>
      <c r="K707" s="95" t="s">
        <v>9</v>
      </c>
      <c r="L707" s="40">
        <v>98</v>
      </c>
      <c r="M707"/>
      <c r="N707" s="10">
        <v>1010.4</v>
      </c>
      <c r="O707" s="11">
        <v>75</v>
      </c>
      <c r="P707" s="11">
        <v>62</v>
      </c>
      <c r="Q707" s="11">
        <v>73</v>
      </c>
      <c r="R707" s="8">
        <v>69</v>
      </c>
      <c r="S707" s="20">
        <v>7</v>
      </c>
      <c r="T707" s="6" t="s">
        <v>3</v>
      </c>
      <c r="U707" s="20">
        <v>15</v>
      </c>
      <c r="V707" s="43" t="s">
        <v>7</v>
      </c>
    </row>
    <row r="708" spans="1:22" s="53" customFormat="1" x14ac:dyDescent="0.35">
      <c r="A708" s="2">
        <v>43380</v>
      </c>
      <c r="B708" s="3">
        <f t="shared" si="39"/>
        <v>2018</v>
      </c>
      <c r="C708" s="3">
        <f t="shared" si="40"/>
        <v>10</v>
      </c>
      <c r="D708" s="3">
        <f t="shared" si="41"/>
        <v>7</v>
      </c>
      <c r="E708" s="13">
        <v>26.6</v>
      </c>
      <c r="F708" s="13">
        <v>30.8</v>
      </c>
      <c r="G708" s="13">
        <v>29</v>
      </c>
      <c r="H708" s="34">
        <v>28.1</v>
      </c>
      <c r="I708" s="39">
        <v>31.8</v>
      </c>
      <c r="J708" s="39">
        <v>21.8</v>
      </c>
      <c r="K708" s="95" t="s">
        <v>9</v>
      </c>
      <c r="L708" s="40">
        <v>98</v>
      </c>
      <c r="M708"/>
      <c r="N708" s="10">
        <v>1010.7</v>
      </c>
      <c r="O708" s="11">
        <v>72</v>
      </c>
      <c r="P708" s="11">
        <v>65</v>
      </c>
      <c r="Q708" s="11">
        <v>68</v>
      </c>
      <c r="R708" s="8">
        <v>65</v>
      </c>
      <c r="S708" s="20">
        <v>5</v>
      </c>
      <c r="T708" s="6" t="s">
        <v>3</v>
      </c>
      <c r="U708" s="20">
        <v>10</v>
      </c>
      <c r="V708" s="43" t="s">
        <v>3</v>
      </c>
    </row>
    <row r="709" spans="1:22" s="53" customFormat="1" x14ac:dyDescent="0.35">
      <c r="A709" s="2">
        <v>43381</v>
      </c>
      <c r="B709" s="3">
        <f t="shared" si="39"/>
        <v>2018</v>
      </c>
      <c r="C709" s="3">
        <f t="shared" si="40"/>
        <v>10</v>
      </c>
      <c r="D709" s="3">
        <f t="shared" si="41"/>
        <v>8</v>
      </c>
      <c r="E709" s="13">
        <v>26.6</v>
      </c>
      <c r="F709" s="13">
        <v>31.3</v>
      </c>
      <c r="G709" s="13">
        <v>29</v>
      </c>
      <c r="H709" s="34">
        <v>28.1</v>
      </c>
      <c r="I709" s="39">
        <v>31.8</v>
      </c>
      <c r="J709" s="39">
        <v>23.8</v>
      </c>
      <c r="K709" s="95" t="s">
        <v>9</v>
      </c>
      <c r="L709" s="40">
        <v>98</v>
      </c>
      <c r="M709"/>
      <c r="N709" s="10">
        <v>1009.9</v>
      </c>
      <c r="O709" s="11">
        <v>68</v>
      </c>
      <c r="P709" s="11">
        <v>60</v>
      </c>
      <c r="Q709" s="11">
        <v>71</v>
      </c>
      <c r="R709" s="8">
        <v>69</v>
      </c>
      <c r="S709" s="20">
        <v>6</v>
      </c>
      <c r="T709" s="6" t="s">
        <v>3</v>
      </c>
      <c r="U709" s="20">
        <v>15</v>
      </c>
      <c r="V709" s="43" t="s">
        <v>7</v>
      </c>
    </row>
    <row r="710" spans="1:22" s="53" customFormat="1" x14ac:dyDescent="0.35">
      <c r="A710" s="2">
        <v>43382</v>
      </c>
      <c r="B710" s="3">
        <f t="shared" si="39"/>
        <v>2018</v>
      </c>
      <c r="C710" s="3">
        <f t="shared" si="40"/>
        <v>10</v>
      </c>
      <c r="D710" s="3">
        <f t="shared" si="41"/>
        <v>9</v>
      </c>
      <c r="E710" s="13">
        <v>27</v>
      </c>
      <c r="F710" s="13">
        <v>32</v>
      </c>
      <c r="G710" s="13">
        <v>28.8</v>
      </c>
      <c r="H710" s="34">
        <v>28.2</v>
      </c>
      <c r="I710" s="39">
        <v>32.6</v>
      </c>
      <c r="J710" s="39">
        <v>24.2</v>
      </c>
      <c r="K710" s="95" t="s">
        <v>9</v>
      </c>
      <c r="L710" s="40">
        <v>83</v>
      </c>
      <c r="M710"/>
      <c r="N710" s="10">
        <v>1009</v>
      </c>
      <c r="O710" s="11">
        <v>64</v>
      </c>
      <c r="P710" s="11">
        <v>54</v>
      </c>
      <c r="Q710" s="11">
        <v>72</v>
      </c>
      <c r="R710" s="8">
        <v>68</v>
      </c>
      <c r="S710" s="20">
        <v>5</v>
      </c>
      <c r="T710" s="6" t="s">
        <v>7</v>
      </c>
      <c r="U710" s="20">
        <v>12</v>
      </c>
      <c r="V710" s="43" t="s">
        <v>7</v>
      </c>
    </row>
    <row r="711" spans="1:22" s="53" customFormat="1" x14ac:dyDescent="0.35">
      <c r="A711" s="2">
        <v>43383</v>
      </c>
      <c r="B711" s="3">
        <f t="shared" si="39"/>
        <v>2018</v>
      </c>
      <c r="C711" s="3">
        <f t="shared" si="40"/>
        <v>10</v>
      </c>
      <c r="D711" s="3">
        <f t="shared" si="41"/>
        <v>10</v>
      </c>
      <c r="E711" s="13">
        <v>26.8</v>
      </c>
      <c r="F711" s="13">
        <v>31.6</v>
      </c>
      <c r="G711" s="13">
        <v>29</v>
      </c>
      <c r="H711" s="34">
        <v>28.3</v>
      </c>
      <c r="I711" s="39">
        <v>32.200000000000003</v>
      </c>
      <c r="J711" s="39">
        <v>24.1</v>
      </c>
      <c r="K711" s="95" t="s">
        <v>9</v>
      </c>
      <c r="L711" s="40">
        <v>98</v>
      </c>
      <c r="M711"/>
      <c r="N711" s="10">
        <v>1009</v>
      </c>
      <c r="O711" s="11">
        <v>68</v>
      </c>
      <c r="P711" s="11">
        <v>53</v>
      </c>
      <c r="Q711" s="11">
        <v>71</v>
      </c>
      <c r="R711" s="8">
        <v>66</v>
      </c>
      <c r="S711" s="20">
        <v>6</v>
      </c>
      <c r="T711" s="6" t="s">
        <v>3</v>
      </c>
      <c r="U711" s="20">
        <v>11</v>
      </c>
      <c r="V711" s="43" t="s">
        <v>7</v>
      </c>
    </row>
    <row r="712" spans="1:22" s="53" customFormat="1" x14ac:dyDescent="0.35">
      <c r="A712" s="2">
        <v>43384</v>
      </c>
      <c r="B712" s="3">
        <f t="shared" si="39"/>
        <v>2018</v>
      </c>
      <c r="C712" s="3">
        <f t="shared" si="40"/>
        <v>10</v>
      </c>
      <c r="D712" s="3">
        <f t="shared" si="41"/>
        <v>11</v>
      </c>
      <c r="E712" s="13">
        <v>27</v>
      </c>
      <c r="F712" s="13">
        <v>31.8</v>
      </c>
      <c r="G712" s="13">
        <v>29.5</v>
      </c>
      <c r="H712" s="34">
        <v>28.7</v>
      </c>
      <c r="I712" s="39">
        <v>32.6</v>
      </c>
      <c r="J712" s="39">
        <v>24.2</v>
      </c>
      <c r="K712" s="95" t="s">
        <v>9</v>
      </c>
      <c r="L712" s="40">
        <v>95</v>
      </c>
      <c r="M712"/>
      <c r="N712" s="10">
        <v>1009.6</v>
      </c>
      <c r="O712" s="11">
        <v>66</v>
      </c>
      <c r="P712" s="11">
        <v>54</v>
      </c>
      <c r="Q712" s="11">
        <v>62</v>
      </c>
      <c r="R712" s="8">
        <v>65</v>
      </c>
      <c r="S712" s="20">
        <v>6</v>
      </c>
      <c r="T712" s="6" t="s">
        <v>3</v>
      </c>
      <c r="U712" s="20">
        <v>12</v>
      </c>
      <c r="V712" s="43" t="s">
        <v>3</v>
      </c>
    </row>
    <row r="713" spans="1:22" s="53" customFormat="1" x14ac:dyDescent="0.35">
      <c r="A713" s="2">
        <v>43385</v>
      </c>
      <c r="B713" s="3">
        <f t="shared" si="39"/>
        <v>2018</v>
      </c>
      <c r="C713" s="3">
        <f t="shared" si="40"/>
        <v>10</v>
      </c>
      <c r="D713" s="3">
        <f t="shared" si="41"/>
        <v>12</v>
      </c>
      <c r="E713" s="13">
        <v>26.5</v>
      </c>
      <c r="F713" s="13">
        <v>30.4</v>
      </c>
      <c r="G713" s="13">
        <v>29</v>
      </c>
      <c r="H713" s="34">
        <v>28.8</v>
      </c>
      <c r="I713" s="39">
        <v>31.8</v>
      </c>
      <c r="J713" s="39">
        <v>26.4</v>
      </c>
      <c r="K713" s="95" t="s">
        <v>9</v>
      </c>
      <c r="L713" s="40">
        <v>93</v>
      </c>
      <c r="M713"/>
      <c r="N713" s="10">
        <v>1010.4</v>
      </c>
      <c r="O713" s="11">
        <v>70</v>
      </c>
      <c r="P713" s="11">
        <v>61</v>
      </c>
      <c r="Q713" s="11">
        <v>70</v>
      </c>
      <c r="R713" s="8">
        <v>67</v>
      </c>
      <c r="S713" s="20">
        <v>4</v>
      </c>
      <c r="T713" s="6" t="s">
        <v>7</v>
      </c>
      <c r="U713" s="20">
        <v>11</v>
      </c>
      <c r="V713" s="43" t="s">
        <v>7</v>
      </c>
    </row>
    <row r="714" spans="1:22" s="53" customFormat="1" x14ac:dyDescent="0.35">
      <c r="A714" s="2">
        <v>43386</v>
      </c>
      <c r="B714" s="3">
        <f t="shared" si="39"/>
        <v>2018</v>
      </c>
      <c r="C714" s="3">
        <f t="shared" si="40"/>
        <v>10</v>
      </c>
      <c r="D714" s="3">
        <f t="shared" si="41"/>
        <v>13</v>
      </c>
      <c r="E714" s="13">
        <v>28</v>
      </c>
      <c r="F714" s="13">
        <v>32.799999999999997</v>
      </c>
      <c r="G714" s="13">
        <v>30</v>
      </c>
      <c r="H714" s="34">
        <v>29.4</v>
      </c>
      <c r="I714" s="39">
        <v>33.4</v>
      </c>
      <c r="J714" s="39">
        <v>26</v>
      </c>
      <c r="K714" s="95" t="s">
        <v>9</v>
      </c>
      <c r="L714" s="40">
        <v>81</v>
      </c>
      <c r="M714"/>
      <c r="N714" s="10">
        <v>1011.3</v>
      </c>
      <c r="O714" s="11">
        <v>66</v>
      </c>
      <c r="P714" s="11">
        <v>52</v>
      </c>
      <c r="Q714" s="11">
        <v>68</v>
      </c>
      <c r="R714" s="8">
        <v>62</v>
      </c>
      <c r="S714" s="20">
        <v>5</v>
      </c>
      <c r="T714" s="6" t="s">
        <v>6</v>
      </c>
      <c r="U714" s="37">
        <v>11</v>
      </c>
      <c r="V714" s="58" t="s">
        <v>8</v>
      </c>
    </row>
    <row r="715" spans="1:22" s="53" customFormat="1" x14ac:dyDescent="0.35">
      <c r="A715" s="2">
        <v>43387</v>
      </c>
      <c r="B715" s="3">
        <f t="shared" si="39"/>
        <v>2018</v>
      </c>
      <c r="C715" s="3">
        <f t="shared" si="40"/>
        <v>10</v>
      </c>
      <c r="D715" s="3">
        <f t="shared" si="41"/>
        <v>14</v>
      </c>
      <c r="E715" s="13">
        <v>27.8</v>
      </c>
      <c r="F715" s="13">
        <v>32</v>
      </c>
      <c r="G715" s="13">
        <v>29</v>
      </c>
      <c r="H715" s="34">
        <v>28.7</v>
      </c>
      <c r="I715" s="39">
        <v>32.4</v>
      </c>
      <c r="J715" s="39">
        <v>25.3</v>
      </c>
      <c r="K715" s="95" t="s">
        <v>9</v>
      </c>
      <c r="L715" s="40">
        <v>81</v>
      </c>
      <c r="M715"/>
      <c r="N715" s="10">
        <v>1011.2</v>
      </c>
      <c r="O715" s="11">
        <v>60</v>
      </c>
      <c r="P715" s="11">
        <v>54</v>
      </c>
      <c r="Q715" s="11">
        <v>77</v>
      </c>
      <c r="R715" s="8">
        <v>68</v>
      </c>
      <c r="S715" s="20">
        <v>5</v>
      </c>
      <c r="T715" s="6" t="s">
        <v>4</v>
      </c>
      <c r="U715" s="20">
        <v>13</v>
      </c>
      <c r="V715" s="43" t="s">
        <v>7</v>
      </c>
    </row>
    <row r="716" spans="1:22" s="53" customFormat="1" x14ac:dyDescent="0.35">
      <c r="A716" s="2">
        <v>43388</v>
      </c>
      <c r="B716" s="3">
        <f t="shared" si="39"/>
        <v>2018</v>
      </c>
      <c r="C716" s="3">
        <f t="shared" si="40"/>
        <v>10</v>
      </c>
      <c r="D716" s="3">
        <f t="shared" si="41"/>
        <v>15</v>
      </c>
      <c r="E716" s="13">
        <v>28.2</v>
      </c>
      <c r="F716" s="13">
        <v>32</v>
      </c>
      <c r="G716" s="13">
        <v>29.8</v>
      </c>
      <c r="H716" s="34">
        <v>29.3</v>
      </c>
      <c r="I716" s="39">
        <v>33</v>
      </c>
      <c r="J716" s="39">
        <v>26</v>
      </c>
      <c r="K716" s="95" t="s">
        <v>9</v>
      </c>
      <c r="L716" s="40">
        <v>73</v>
      </c>
      <c r="M716"/>
      <c r="N716" s="10">
        <v>1012.3</v>
      </c>
      <c r="O716" s="11">
        <v>63</v>
      </c>
      <c r="P716" s="11">
        <v>58</v>
      </c>
      <c r="Q716" s="11">
        <v>66</v>
      </c>
      <c r="R716" s="8">
        <v>59</v>
      </c>
      <c r="S716" s="20">
        <v>7</v>
      </c>
      <c r="T716" s="6" t="s">
        <v>3</v>
      </c>
      <c r="U716" s="20">
        <v>15</v>
      </c>
      <c r="V716" s="43" t="s">
        <v>7</v>
      </c>
    </row>
    <row r="717" spans="1:22" s="53" customFormat="1" ht="11.25" customHeight="1" x14ac:dyDescent="0.35">
      <c r="A717" s="2">
        <v>43389</v>
      </c>
      <c r="B717" s="3">
        <f t="shared" si="39"/>
        <v>2018</v>
      </c>
      <c r="C717" s="3">
        <f t="shared" si="40"/>
        <v>10</v>
      </c>
      <c r="D717" s="3">
        <f t="shared" si="41"/>
        <v>16</v>
      </c>
      <c r="E717" s="13">
        <v>28</v>
      </c>
      <c r="F717" s="13">
        <v>32</v>
      </c>
      <c r="G717" s="13">
        <v>29.9</v>
      </c>
      <c r="H717" s="34">
        <v>29.3</v>
      </c>
      <c r="I717" s="39">
        <v>33</v>
      </c>
      <c r="J717" s="39">
        <v>26.3</v>
      </c>
      <c r="K717" s="95" t="s">
        <v>9</v>
      </c>
      <c r="L717" s="40">
        <v>93</v>
      </c>
      <c r="M717"/>
      <c r="N717" s="10">
        <v>1011.4</v>
      </c>
      <c r="O717" s="11">
        <v>65</v>
      </c>
      <c r="P717" s="11">
        <v>56</v>
      </c>
      <c r="Q717" s="11">
        <v>66</v>
      </c>
      <c r="R717" s="8">
        <v>63</v>
      </c>
      <c r="S717" s="20">
        <v>6</v>
      </c>
      <c r="T717" s="6" t="s">
        <v>4</v>
      </c>
      <c r="U717" s="20">
        <v>10</v>
      </c>
      <c r="V717" s="43" t="s">
        <v>7</v>
      </c>
    </row>
    <row r="718" spans="1:22" s="53" customFormat="1" x14ac:dyDescent="0.35">
      <c r="A718" s="2">
        <v>43390</v>
      </c>
      <c r="B718" s="3">
        <f t="shared" si="39"/>
        <v>2018</v>
      </c>
      <c r="C718" s="3">
        <f t="shared" si="40"/>
        <v>10</v>
      </c>
      <c r="D718" s="3">
        <f t="shared" si="41"/>
        <v>17</v>
      </c>
      <c r="E718" s="13">
        <v>28.3</v>
      </c>
      <c r="F718" s="13">
        <v>34</v>
      </c>
      <c r="G718" s="13">
        <v>30.2</v>
      </c>
      <c r="H718" s="34">
        <v>29.9</v>
      </c>
      <c r="I718" s="39">
        <v>34.200000000000003</v>
      </c>
      <c r="J718" s="39">
        <v>27</v>
      </c>
      <c r="K718" s="95" t="s">
        <v>9</v>
      </c>
      <c r="L718" s="40">
        <v>95</v>
      </c>
      <c r="M718"/>
      <c r="N718" s="10">
        <v>1011.3</v>
      </c>
      <c r="O718" s="11">
        <v>65</v>
      </c>
      <c r="P718" s="11">
        <v>47</v>
      </c>
      <c r="Q718" s="11">
        <v>67</v>
      </c>
      <c r="R718" s="8">
        <v>59</v>
      </c>
      <c r="S718" s="20">
        <v>6</v>
      </c>
      <c r="T718" s="6" t="s">
        <v>7</v>
      </c>
      <c r="U718" s="20">
        <v>12</v>
      </c>
      <c r="V718" s="12" t="s">
        <v>2</v>
      </c>
    </row>
    <row r="719" spans="1:22" s="53" customFormat="1" x14ac:dyDescent="0.35">
      <c r="A719" s="2">
        <v>43391</v>
      </c>
      <c r="B719" s="3">
        <f t="shared" si="39"/>
        <v>2018</v>
      </c>
      <c r="C719" s="3">
        <f t="shared" si="40"/>
        <v>10</v>
      </c>
      <c r="D719" s="3">
        <f t="shared" si="41"/>
        <v>18</v>
      </c>
      <c r="E719" s="13">
        <v>28.2</v>
      </c>
      <c r="F719" s="13">
        <v>32.200000000000003</v>
      </c>
      <c r="G719" s="13">
        <v>29.6</v>
      </c>
      <c r="H719" s="34">
        <v>29.4</v>
      </c>
      <c r="I719" s="39">
        <v>34.200000000000003</v>
      </c>
      <c r="J719" s="39">
        <v>26</v>
      </c>
      <c r="K719" s="95" t="s">
        <v>9</v>
      </c>
      <c r="L719" s="40">
        <v>100</v>
      </c>
      <c r="M719"/>
      <c r="N719" s="10">
        <v>1010.3</v>
      </c>
      <c r="O719" s="11">
        <v>63</v>
      </c>
      <c r="P719" s="11">
        <v>60</v>
      </c>
      <c r="Q719" s="11">
        <v>72</v>
      </c>
      <c r="R719" s="8">
        <v>61</v>
      </c>
      <c r="S719" s="20">
        <v>6</v>
      </c>
      <c r="T719" s="6" t="s">
        <v>6</v>
      </c>
      <c r="U719" s="20">
        <v>13</v>
      </c>
      <c r="V719" s="43" t="s">
        <v>6</v>
      </c>
    </row>
    <row r="720" spans="1:22" s="53" customFormat="1" x14ac:dyDescent="0.35">
      <c r="A720" s="2">
        <v>43392</v>
      </c>
      <c r="B720" s="3">
        <f t="shared" si="39"/>
        <v>2018</v>
      </c>
      <c r="C720" s="3">
        <f t="shared" si="40"/>
        <v>10</v>
      </c>
      <c r="D720" s="3">
        <f t="shared" si="41"/>
        <v>19</v>
      </c>
      <c r="E720" s="13">
        <v>28</v>
      </c>
      <c r="F720" s="13">
        <v>32.4</v>
      </c>
      <c r="G720" s="13">
        <v>29.8</v>
      </c>
      <c r="H720" s="34">
        <v>29.1</v>
      </c>
      <c r="I720" s="39">
        <v>33</v>
      </c>
      <c r="J720" s="39">
        <v>25.8</v>
      </c>
      <c r="K720" s="95" t="s">
        <v>9</v>
      </c>
      <c r="L720" s="40">
        <v>99</v>
      </c>
      <c r="M720"/>
      <c r="N720" s="10">
        <v>1011</v>
      </c>
      <c r="O720" s="11">
        <v>59</v>
      </c>
      <c r="P720" s="11">
        <v>53</v>
      </c>
      <c r="Q720" s="11">
        <v>64</v>
      </c>
      <c r="R720" s="8">
        <v>60</v>
      </c>
      <c r="S720" s="20">
        <v>7</v>
      </c>
      <c r="T720" s="6" t="s">
        <v>6</v>
      </c>
      <c r="U720" s="20">
        <v>14</v>
      </c>
      <c r="V720" s="43" t="s">
        <v>6</v>
      </c>
    </row>
    <row r="721" spans="1:22" s="53" customFormat="1" x14ac:dyDescent="0.35">
      <c r="A721" s="2">
        <v>43393</v>
      </c>
      <c r="B721" s="3">
        <f t="shared" si="39"/>
        <v>2018</v>
      </c>
      <c r="C721" s="3">
        <f t="shared" si="40"/>
        <v>10</v>
      </c>
      <c r="D721" s="3">
        <f t="shared" si="41"/>
        <v>20</v>
      </c>
      <c r="E721" s="13">
        <v>28</v>
      </c>
      <c r="F721" s="13">
        <v>33.200000000000003</v>
      </c>
      <c r="G721" s="13">
        <v>30</v>
      </c>
      <c r="H721" s="34">
        <v>29.4</v>
      </c>
      <c r="I721" s="39">
        <v>33.799999999999997</v>
      </c>
      <c r="J721" s="39">
        <v>26</v>
      </c>
      <c r="K721" s="95" t="s">
        <v>9</v>
      </c>
      <c r="L721" s="40">
        <v>75</v>
      </c>
      <c r="M721"/>
      <c r="N721" s="10">
        <v>1012</v>
      </c>
      <c r="O721" s="11">
        <v>60</v>
      </c>
      <c r="P721" s="11">
        <v>49</v>
      </c>
      <c r="Q721" s="11">
        <v>64</v>
      </c>
      <c r="R721" s="8">
        <v>60</v>
      </c>
      <c r="S721" s="20">
        <v>6</v>
      </c>
      <c r="T721" s="6" t="s">
        <v>6</v>
      </c>
      <c r="U721" s="20">
        <v>11</v>
      </c>
      <c r="V721" s="43" t="s">
        <v>7</v>
      </c>
    </row>
    <row r="722" spans="1:22" s="53" customFormat="1" x14ac:dyDescent="0.35">
      <c r="A722" s="2">
        <v>43394</v>
      </c>
      <c r="B722" s="3">
        <f t="shared" si="39"/>
        <v>2018</v>
      </c>
      <c r="C722" s="3">
        <f t="shared" si="40"/>
        <v>10</v>
      </c>
      <c r="D722" s="3">
        <f t="shared" si="41"/>
        <v>21</v>
      </c>
      <c r="E722" s="13">
        <v>28.2</v>
      </c>
      <c r="F722" s="13">
        <v>30.8</v>
      </c>
      <c r="G722" s="13">
        <v>28.8</v>
      </c>
      <c r="H722" s="34">
        <v>28.8</v>
      </c>
      <c r="I722" s="39">
        <v>32.799999999999997</v>
      </c>
      <c r="J722" s="39">
        <v>25.4</v>
      </c>
      <c r="K722" s="95" t="s">
        <v>9</v>
      </c>
      <c r="L722" s="40">
        <v>65</v>
      </c>
      <c r="M722"/>
      <c r="N722" s="10">
        <v>1012.6</v>
      </c>
      <c r="O722" s="11">
        <v>64</v>
      </c>
      <c r="P722" s="11">
        <v>65</v>
      </c>
      <c r="Q722" s="11">
        <v>74</v>
      </c>
      <c r="R722" s="8">
        <v>70</v>
      </c>
      <c r="S722" s="20">
        <v>6</v>
      </c>
      <c r="T722" s="6" t="s">
        <v>7</v>
      </c>
      <c r="U722" s="20">
        <v>12</v>
      </c>
      <c r="V722" s="12" t="s">
        <v>3</v>
      </c>
    </row>
    <row r="723" spans="1:22" s="53" customFormat="1" x14ac:dyDescent="0.35">
      <c r="A723" s="2">
        <v>43395</v>
      </c>
      <c r="B723" s="3">
        <f t="shared" si="39"/>
        <v>2018</v>
      </c>
      <c r="C723" s="3">
        <f t="shared" si="40"/>
        <v>10</v>
      </c>
      <c r="D723" s="3">
        <f t="shared" si="41"/>
        <v>22</v>
      </c>
      <c r="E723" s="13">
        <v>27.7</v>
      </c>
      <c r="F723" s="13">
        <v>32.4</v>
      </c>
      <c r="G723" s="13">
        <v>29.7</v>
      </c>
      <c r="H723" s="34">
        <v>29.3</v>
      </c>
      <c r="I723" s="39">
        <v>33.4</v>
      </c>
      <c r="J723" s="39">
        <v>25.6</v>
      </c>
      <c r="K723" s="95" t="s">
        <v>9</v>
      </c>
      <c r="L723" s="40">
        <v>100</v>
      </c>
      <c r="M723"/>
      <c r="N723" s="10">
        <v>1011.9</v>
      </c>
      <c r="O723" s="11">
        <v>67</v>
      </c>
      <c r="P723" s="11">
        <v>55</v>
      </c>
      <c r="Q723" s="11">
        <v>66</v>
      </c>
      <c r="R723" s="8">
        <v>63</v>
      </c>
      <c r="S723" s="20">
        <v>7</v>
      </c>
      <c r="T723" s="6" t="s">
        <v>7</v>
      </c>
      <c r="U723" s="20">
        <v>13</v>
      </c>
      <c r="V723" s="43" t="s">
        <v>7</v>
      </c>
    </row>
    <row r="724" spans="1:22" s="53" customFormat="1" x14ac:dyDescent="0.35">
      <c r="A724" s="2">
        <v>43396</v>
      </c>
      <c r="B724" s="3">
        <f t="shared" si="39"/>
        <v>2018</v>
      </c>
      <c r="C724" s="3">
        <f t="shared" si="40"/>
        <v>10</v>
      </c>
      <c r="D724" s="3">
        <f t="shared" si="41"/>
        <v>23</v>
      </c>
      <c r="E724" s="13">
        <v>28.6</v>
      </c>
      <c r="F724" s="13">
        <v>32.6</v>
      </c>
      <c r="G724" s="13">
        <v>29.3</v>
      </c>
      <c r="H724" s="34">
        <v>29.6</v>
      </c>
      <c r="I724" s="39">
        <v>33.799999999999997</v>
      </c>
      <c r="J724" s="39">
        <v>26</v>
      </c>
      <c r="K724" s="95" t="s">
        <v>9</v>
      </c>
      <c r="L724" s="40">
        <v>94</v>
      </c>
      <c r="M724"/>
      <c r="N724" s="10">
        <v>1010.8</v>
      </c>
      <c r="O724" s="11">
        <v>86</v>
      </c>
      <c r="P724" s="11">
        <v>51</v>
      </c>
      <c r="Q724" s="11">
        <v>73</v>
      </c>
      <c r="R724" s="8">
        <v>64</v>
      </c>
      <c r="S724" s="20">
        <v>5</v>
      </c>
      <c r="T724" s="6" t="s">
        <v>6</v>
      </c>
      <c r="U724" s="20">
        <v>12</v>
      </c>
      <c r="V724" s="43" t="s">
        <v>2</v>
      </c>
    </row>
    <row r="725" spans="1:22" s="53" customFormat="1" x14ac:dyDescent="0.35">
      <c r="A725" s="2">
        <v>43397</v>
      </c>
      <c r="B725" s="3">
        <f t="shared" si="39"/>
        <v>2018</v>
      </c>
      <c r="C725" s="3">
        <f t="shared" si="40"/>
        <v>10</v>
      </c>
      <c r="D725" s="3">
        <f t="shared" si="41"/>
        <v>24</v>
      </c>
      <c r="E725" s="13">
        <v>28.6</v>
      </c>
      <c r="F725" s="13">
        <v>32.200000000000003</v>
      </c>
      <c r="G725" s="13">
        <v>29.6</v>
      </c>
      <c r="H725" s="34">
        <v>29.5</v>
      </c>
      <c r="I725" s="39">
        <v>33</v>
      </c>
      <c r="J725" s="39">
        <v>26.6</v>
      </c>
      <c r="K725" s="95" t="s">
        <v>9</v>
      </c>
      <c r="L725" s="40">
        <v>76</v>
      </c>
      <c r="M725"/>
      <c r="N725" s="10">
        <v>1010.9</v>
      </c>
      <c r="O725" s="11">
        <v>67</v>
      </c>
      <c r="P725" s="11">
        <v>62</v>
      </c>
      <c r="Q725" s="11">
        <v>76</v>
      </c>
      <c r="R725" s="8">
        <v>68</v>
      </c>
      <c r="S725" s="20">
        <v>5</v>
      </c>
      <c r="T725" s="6" t="s">
        <v>6</v>
      </c>
      <c r="U725" s="20">
        <v>13</v>
      </c>
      <c r="V725" s="43" t="s">
        <v>2</v>
      </c>
    </row>
    <row r="726" spans="1:22" s="53" customFormat="1" x14ac:dyDescent="0.35">
      <c r="A726" s="2">
        <v>43398</v>
      </c>
      <c r="B726" s="3">
        <f t="shared" si="39"/>
        <v>2018</v>
      </c>
      <c r="C726" s="3">
        <f t="shared" si="40"/>
        <v>10</v>
      </c>
      <c r="D726" s="3">
        <f t="shared" si="41"/>
        <v>25</v>
      </c>
      <c r="E726" s="13">
        <v>28.6</v>
      </c>
      <c r="F726" s="13">
        <v>32</v>
      </c>
      <c r="G726" s="13">
        <v>29.6</v>
      </c>
      <c r="H726" s="34">
        <v>29.3</v>
      </c>
      <c r="I726" s="39">
        <v>32.4</v>
      </c>
      <c r="J726" s="39">
        <v>26.4</v>
      </c>
      <c r="K726" s="95" t="s">
        <v>9</v>
      </c>
      <c r="L726" s="40">
        <v>86</v>
      </c>
      <c r="M726"/>
      <c r="N726" s="10">
        <v>1011.3</v>
      </c>
      <c r="O726" s="11">
        <v>64</v>
      </c>
      <c r="P726" s="11">
        <v>62</v>
      </c>
      <c r="Q726" s="11">
        <v>72</v>
      </c>
      <c r="R726" s="8">
        <v>66</v>
      </c>
      <c r="S726" s="20">
        <v>6</v>
      </c>
      <c r="T726" s="6" t="s">
        <v>6</v>
      </c>
      <c r="U726" s="20">
        <v>14</v>
      </c>
      <c r="V726" s="43" t="s">
        <v>7</v>
      </c>
    </row>
    <row r="727" spans="1:22" s="53" customFormat="1" x14ac:dyDescent="0.35">
      <c r="A727" s="2">
        <v>43399</v>
      </c>
      <c r="B727" s="3">
        <f t="shared" si="39"/>
        <v>2018</v>
      </c>
      <c r="C727" s="3">
        <f t="shared" si="40"/>
        <v>10</v>
      </c>
      <c r="D727" s="3">
        <f t="shared" si="41"/>
        <v>26</v>
      </c>
      <c r="E727" s="13">
        <v>29</v>
      </c>
      <c r="F727" s="13">
        <v>32.799999999999997</v>
      </c>
      <c r="G727" s="13">
        <v>29.6</v>
      </c>
      <c r="H727" s="34">
        <v>29.7</v>
      </c>
      <c r="I727" s="39">
        <v>34</v>
      </c>
      <c r="J727" s="39">
        <v>26.2</v>
      </c>
      <c r="K727" s="95" t="s">
        <v>9</v>
      </c>
      <c r="L727" s="40">
        <v>100</v>
      </c>
      <c r="M727"/>
      <c r="N727" s="10">
        <v>1012.2</v>
      </c>
      <c r="O727" s="11">
        <v>57</v>
      </c>
      <c r="P727" s="11">
        <v>52</v>
      </c>
      <c r="Q727" s="11">
        <v>73</v>
      </c>
      <c r="R727" s="8">
        <v>63</v>
      </c>
      <c r="S727" s="20">
        <v>7</v>
      </c>
      <c r="T727" s="6" t="s">
        <v>6</v>
      </c>
      <c r="U727" s="20">
        <v>14</v>
      </c>
      <c r="V727" s="12" t="s">
        <v>7</v>
      </c>
    </row>
    <row r="728" spans="1:22" s="53" customFormat="1" x14ac:dyDescent="0.35">
      <c r="A728" s="2">
        <v>43400</v>
      </c>
      <c r="B728" s="3">
        <f t="shared" si="39"/>
        <v>2018</v>
      </c>
      <c r="C728" s="3">
        <f t="shared" si="40"/>
        <v>10</v>
      </c>
      <c r="D728" s="3">
        <f t="shared" si="41"/>
        <v>27</v>
      </c>
      <c r="E728" s="13">
        <v>28.6</v>
      </c>
      <c r="F728" s="13">
        <v>32.200000000000003</v>
      </c>
      <c r="G728" s="13">
        <v>30</v>
      </c>
      <c r="H728" s="34">
        <v>29.9</v>
      </c>
      <c r="I728" s="39">
        <v>33.6</v>
      </c>
      <c r="J728" s="39">
        <v>27.1</v>
      </c>
      <c r="K728" s="95" t="s">
        <v>9</v>
      </c>
      <c r="L728" s="40">
        <v>100</v>
      </c>
      <c r="M728"/>
      <c r="N728" s="10">
        <v>1011.7</v>
      </c>
      <c r="O728" s="11">
        <v>66</v>
      </c>
      <c r="P728" s="11">
        <v>59</v>
      </c>
      <c r="Q728" s="11">
        <v>68</v>
      </c>
      <c r="R728" s="8">
        <v>62</v>
      </c>
      <c r="S728" s="20">
        <v>5</v>
      </c>
      <c r="T728" s="6" t="s">
        <v>7</v>
      </c>
      <c r="U728" s="20">
        <v>11</v>
      </c>
      <c r="V728" s="12" t="s">
        <v>7</v>
      </c>
    </row>
    <row r="729" spans="1:22" s="53" customFormat="1" x14ac:dyDescent="0.35">
      <c r="A729" s="2">
        <v>43401</v>
      </c>
      <c r="B729" s="3">
        <f t="shared" si="39"/>
        <v>2018</v>
      </c>
      <c r="C729" s="3">
        <f t="shared" si="40"/>
        <v>10</v>
      </c>
      <c r="D729" s="3">
        <f t="shared" si="41"/>
        <v>28</v>
      </c>
      <c r="E729" s="13">
        <v>28.6</v>
      </c>
      <c r="F729" s="13">
        <v>32</v>
      </c>
      <c r="G729" s="13">
        <v>30</v>
      </c>
      <c r="H729" s="34">
        <v>29.2</v>
      </c>
      <c r="I729" s="39">
        <v>34.200000000000003</v>
      </c>
      <c r="J729" s="39">
        <v>24.6</v>
      </c>
      <c r="K729" s="41">
        <v>6.6</v>
      </c>
      <c r="L729" s="40">
        <v>98</v>
      </c>
      <c r="M729" t="s">
        <v>11</v>
      </c>
      <c r="N729" s="10">
        <v>1010.4</v>
      </c>
      <c r="O729" s="11">
        <v>64</v>
      </c>
      <c r="P729" s="11">
        <v>61</v>
      </c>
      <c r="Q729" s="11">
        <v>65</v>
      </c>
      <c r="R729" s="8">
        <v>68</v>
      </c>
      <c r="S729" s="20">
        <v>7</v>
      </c>
      <c r="T729" s="6" t="s">
        <v>2</v>
      </c>
      <c r="U729" s="20">
        <v>13</v>
      </c>
      <c r="V729" s="12" t="s">
        <v>3</v>
      </c>
    </row>
    <row r="730" spans="1:22" s="53" customFormat="1" x14ac:dyDescent="0.35">
      <c r="A730" s="2">
        <v>43402</v>
      </c>
      <c r="B730" s="3">
        <f t="shared" si="39"/>
        <v>2018</v>
      </c>
      <c r="C730" s="3">
        <f t="shared" si="40"/>
        <v>10</v>
      </c>
      <c r="D730" s="3">
        <f t="shared" si="41"/>
        <v>29</v>
      </c>
      <c r="E730" s="13">
        <v>26.4</v>
      </c>
      <c r="F730" s="13">
        <v>30.2</v>
      </c>
      <c r="G730" s="13">
        <v>28</v>
      </c>
      <c r="H730" s="34">
        <v>27.6</v>
      </c>
      <c r="I730" s="39">
        <v>30.6</v>
      </c>
      <c r="J730" s="39">
        <v>26.1</v>
      </c>
      <c r="K730" s="41">
        <v>0</v>
      </c>
      <c r="L730" s="40">
        <v>8</v>
      </c>
      <c r="M730" t="s">
        <v>20</v>
      </c>
      <c r="N730" s="10">
        <v>1009.6</v>
      </c>
      <c r="O730" s="11">
        <v>75</v>
      </c>
      <c r="P730" s="11">
        <v>60</v>
      </c>
      <c r="Q730" s="11">
        <v>78</v>
      </c>
      <c r="R730" s="8">
        <v>73</v>
      </c>
      <c r="S730" s="20">
        <v>3</v>
      </c>
      <c r="T730" s="6" t="s">
        <v>19</v>
      </c>
      <c r="U730" s="20">
        <v>8</v>
      </c>
      <c r="V730" s="12" t="s">
        <v>3</v>
      </c>
    </row>
    <row r="731" spans="1:22" s="53" customFormat="1" x14ac:dyDescent="0.35">
      <c r="A731" s="2">
        <v>43403</v>
      </c>
      <c r="B731" s="3">
        <f t="shared" si="39"/>
        <v>2018</v>
      </c>
      <c r="C731" s="3">
        <f t="shared" si="40"/>
        <v>10</v>
      </c>
      <c r="D731" s="3">
        <f t="shared" si="41"/>
        <v>30</v>
      </c>
      <c r="E731" s="13">
        <v>27.6</v>
      </c>
      <c r="F731" s="13">
        <v>31.2</v>
      </c>
      <c r="G731" s="13">
        <v>29.6</v>
      </c>
      <c r="H731" s="34">
        <v>29</v>
      </c>
      <c r="I731" s="39">
        <v>33.6</v>
      </c>
      <c r="J731" s="39">
        <v>24.6</v>
      </c>
      <c r="K731" s="41">
        <v>0</v>
      </c>
      <c r="L731" s="40">
        <v>100</v>
      </c>
      <c r="M731"/>
      <c r="N731" s="10">
        <v>1008.6</v>
      </c>
      <c r="O731" s="11">
        <v>66</v>
      </c>
      <c r="P731" s="11">
        <v>57</v>
      </c>
      <c r="Q731" s="11">
        <v>72</v>
      </c>
      <c r="R731" s="8">
        <v>65</v>
      </c>
      <c r="S731" s="20">
        <v>6</v>
      </c>
      <c r="T731" s="6" t="s">
        <v>6</v>
      </c>
      <c r="U731" s="20">
        <v>14</v>
      </c>
      <c r="V731" s="12" t="s">
        <v>7</v>
      </c>
    </row>
    <row r="732" spans="1:22" s="53" customFormat="1" x14ac:dyDescent="0.35">
      <c r="A732" s="2">
        <v>43404</v>
      </c>
      <c r="B732" s="3">
        <f t="shared" si="39"/>
        <v>2018</v>
      </c>
      <c r="C732" s="3">
        <f t="shared" si="40"/>
        <v>10</v>
      </c>
      <c r="D732" s="3">
        <f t="shared" si="41"/>
        <v>31</v>
      </c>
      <c r="E732" s="13">
        <v>27.4</v>
      </c>
      <c r="F732" s="13">
        <v>32.9</v>
      </c>
      <c r="G732" s="13">
        <v>29.2</v>
      </c>
      <c r="H732" s="34">
        <v>29.6</v>
      </c>
      <c r="I732" s="39">
        <v>33.799999999999997</v>
      </c>
      <c r="J732" s="39">
        <v>26.4</v>
      </c>
      <c r="K732" s="95" t="s">
        <v>9</v>
      </c>
      <c r="L732" s="40">
        <v>99</v>
      </c>
      <c r="M732"/>
      <c r="N732" s="10">
        <v>1008.9</v>
      </c>
      <c r="O732" s="11">
        <v>57</v>
      </c>
      <c r="P732" s="11">
        <v>52</v>
      </c>
      <c r="Q732" s="11">
        <v>75</v>
      </c>
      <c r="R732" s="8">
        <v>64</v>
      </c>
      <c r="S732" s="20">
        <v>7</v>
      </c>
      <c r="T732" s="6" t="s">
        <v>6</v>
      </c>
      <c r="U732" s="20">
        <v>13</v>
      </c>
      <c r="V732" s="12" t="s">
        <v>3</v>
      </c>
    </row>
    <row r="733" spans="1:22" s="53" customFormat="1" x14ac:dyDescent="0.35">
      <c r="A733" s="2">
        <v>43405</v>
      </c>
      <c r="B733" s="3">
        <f t="shared" si="39"/>
        <v>2018</v>
      </c>
      <c r="C733" s="3">
        <f t="shared" si="40"/>
        <v>11</v>
      </c>
      <c r="D733" s="3">
        <f t="shared" si="41"/>
        <v>1</v>
      </c>
      <c r="E733" s="13">
        <v>28.6</v>
      </c>
      <c r="F733" s="13">
        <v>32.4</v>
      </c>
      <c r="G733" s="13">
        <v>29.7</v>
      </c>
      <c r="H733" s="34">
        <v>29.1</v>
      </c>
      <c r="I733" s="13">
        <v>32.6</v>
      </c>
      <c r="J733" s="13">
        <v>25.3</v>
      </c>
      <c r="K733" s="15" t="s">
        <v>9</v>
      </c>
      <c r="L733" s="20">
        <v>100</v>
      </c>
      <c r="M733" s="6"/>
      <c r="N733" s="13">
        <v>1009.1</v>
      </c>
      <c r="O733" s="8">
        <v>68</v>
      </c>
      <c r="P733" s="8">
        <v>56</v>
      </c>
      <c r="Q733" s="8">
        <v>67</v>
      </c>
      <c r="R733" s="8">
        <v>67</v>
      </c>
      <c r="S733" s="20">
        <v>7</v>
      </c>
      <c r="T733" s="6" t="s">
        <v>3</v>
      </c>
      <c r="U733" s="20">
        <v>14</v>
      </c>
      <c r="V733" s="43" t="s">
        <v>7</v>
      </c>
    </row>
    <row r="734" spans="1:22" s="53" customFormat="1" x14ac:dyDescent="0.35">
      <c r="A734" s="2">
        <v>43406</v>
      </c>
      <c r="B734" s="3">
        <f t="shared" si="39"/>
        <v>2018</v>
      </c>
      <c r="C734" s="3">
        <f t="shared" si="40"/>
        <v>11</v>
      </c>
      <c r="D734" s="3">
        <f t="shared" si="41"/>
        <v>2</v>
      </c>
      <c r="E734" s="13">
        <v>27.7</v>
      </c>
      <c r="F734" s="13">
        <v>32.5</v>
      </c>
      <c r="G734" s="13">
        <v>29.6</v>
      </c>
      <c r="H734" s="34">
        <v>29.8</v>
      </c>
      <c r="I734" s="13">
        <v>33.200000000000003</v>
      </c>
      <c r="J734" s="13">
        <v>27.2</v>
      </c>
      <c r="K734" s="15" t="s">
        <v>9</v>
      </c>
      <c r="L734" s="20">
        <v>44</v>
      </c>
      <c r="M734" s="6"/>
      <c r="N734" s="13">
        <v>1010</v>
      </c>
      <c r="O734" s="8">
        <v>70</v>
      </c>
      <c r="P734" s="8">
        <v>55</v>
      </c>
      <c r="Q734" s="8">
        <v>74</v>
      </c>
      <c r="R734" s="8">
        <v>68</v>
      </c>
      <c r="S734" s="8">
        <v>6</v>
      </c>
      <c r="T734" s="6" t="s">
        <v>7</v>
      </c>
      <c r="U734" s="20">
        <v>15</v>
      </c>
      <c r="V734" s="43" t="s">
        <v>7</v>
      </c>
    </row>
    <row r="735" spans="1:22" s="53" customFormat="1" x14ac:dyDescent="0.35">
      <c r="A735" s="2">
        <v>43407</v>
      </c>
      <c r="B735" s="3">
        <f t="shared" si="39"/>
        <v>2018</v>
      </c>
      <c r="C735" s="3">
        <f t="shared" si="40"/>
        <v>11</v>
      </c>
      <c r="D735" s="3">
        <f t="shared" si="41"/>
        <v>3</v>
      </c>
      <c r="E735" s="13">
        <v>29.4</v>
      </c>
      <c r="F735" s="13">
        <v>32.6</v>
      </c>
      <c r="G735" s="13">
        <v>28</v>
      </c>
      <c r="H735" s="34">
        <v>29.6</v>
      </c>
      <c r="I735" s="13">
        <v>33.6</v>
      </c>
      <c r="J735" s="13">
        <v>27.2</v>
      </c>
      <c r="K735" s="19">
        <v>0</v>
      </c>
      <c r="L735" s="20">
        <v>99</v>
      </c>
      <c r="M735" s="6" t="s">
        <v>11</v>
      </c>
      <c r="N735" s="13">
        <v>1009.5</v>
      </c>
      <c r="O735" s="8">
        <v>69</v>
      </c>
      <c r="P735" s="8">
        <v>65</v>
      </c>
      <c r="Q735" s="8">
        <v>81</v>
      </c>
      <c r="R735" s="8">
        <v>71</v>
      </c>
      <c r="S735" s="8">
        <v>6</v>
      </c>
      <c r="T735" s="6" t="s">
        <v>6</v>
      </c>
      <c r="U735" s="20">
        <v>15</v>
      </c>
      <c r="V735" s="43" t="s">
        <v>2</v>
      </c>
    </row>
    <row r="736" spans="1:22" s="53" customFormat="1" x14ac:dyDescent="0.35">
      <c r="A736" s="2">
        <v>43408</v>
      </c>
      <c r="B736" s="3">
        <f t="shared" si="39"/>
        <v>2018</v>
      </c>
      <c r="C736" s="3">
        <f t="shared" si="40"/>
        <v>11</v>
      </c>
      <c r="D736" s="3">
        <f t="shared" si="41"/>
        <v>4</v>
      </c>
      <c r="E736" s="13">
        <v>29</v>
      </c>
      <c r="F736" s="13">
        <v>32.4</v>
      </c>
      <c r="G736" s="13">
        <v>30.6</v>
      </c>
      <c r="H736" s="34">
        <v>30.1</v>
      </c>
      <c r="I736" s="13">
        <v>33.200000000000003</v>
      </c>
      <c r="J736" s="13">
        <v>26.8</v>
      </c>
      <c r="K736" s="15" t="s">
        <v>9</v>
      </c>
      <c r="L736" s="20">
        <v>100</v>
      </c>
      <c r="M736" s="6"/>
      <c r="N736" s="13">
        <v>1008.8</v>
      </c>
      <c r="O736" s="8">
        <v>65</v>
      </c>
      <c r="P736" s="8">
        <v>58</v>
      </c>
      <c r="Q736" s="8">
        <v>66</v>
      </c>
      <c r="R736" s="8">
        <v>65</v>
      </c>
      <c r="S736" s="8">
        <v>4</v>
      </c>
      <c r="T736" s="6" t="s">
        <v>19</v>
      </c>
      <c r="U736" s="20">
        <v>13</v>
      </c>
      <c r="V736" s="43" t="s">
        <v>2</v>
      </c>
    </row>
    <row r="737" spans="1:22" s="53" customFormat="1" x14ac:dyDescent="0.35">
      <c r="A737" s="2">
        <v>43409</v>
      </c>
      <c r="B737" s="3">
        <f t="shared" ref="B737:B793" si="42">YEAR(A737)</f>
        <v>2018</v>
      </c>
      <c r="C737" s="3">
        <f t="shared" ref="C737:C793" si="43">MONTH(A737)</f>
        <v>11</v>
      </c>
      <c r="D737" s="3">
        <f t="shared" ref="D737:D793" si="44">DAY(A737)</f>
        <v>5</v>
      </c>
      <c r="E737" s="13">
        <v>29</v>
      </c>
      <c r="F737" s="13">
        <v>32.799999999999997</v>
      </c>
      <c r="G737" s="13">
        <v>30</v>
      </c>
      <c r="H737" s="34">
        <v>30.1</v>
      </c>
      <c r="I737" s="13">
        <v>33.4</v>
      </c>
      <c r="J737" s="13">
        <v>27</v>
      </c>
      <c r="K737" s="15" t="s">
        <v>9</v>
      </c>
      <c r="L737" s="20">
        <v>100</v>
      </c>
      <c r="M737" s="6"/>
      <c r="N737" s="13">
        <v>1008.3</v>
      </c>
      <c r="O737" s="8">
        <v>68</v>
      </c>
      <c r="P737" s="8">
        <v>51</v>
      </c>
      <c r="Q737" s="8">
        <v>67</v>
      </c>
      <c r="R737" s="8">
        <v>65</v>
      </c>
      <c r="S737" s="8">
        <v>5</v>
      </c>
      <c r="T737" s="6" t="s">
        <v>7</v>
      </c>
      <c r="U737" s="20">
        <v>13</v>
      </c>
      <c r="V737" s="43" t="s">
        <v>7</v>
      </c>
    </row>
    <row r="738" spans="1:22" s="53" customFormat="1" x14ac:dyDescent="0.35">
      <c r="A738" s="2">
        <v>43410</v>
      </c>
      <c r="B738" s="3">
        <f t="shared" si="42"/>
        <v>2018</v>
      </c>
      <c r="C738" s="3">
        <f t="shared" si="43"/>
        <v>11</v>
      </c>
      <c r="D738" s="3">
        <f t="shared" si="44"/>
        <v>6</v>
      </c>
      <c r="E738" s="13">
        <v>29.4</v>
      </c>
      <c r="F738" s="13">
        <v>33</v>
      </c>
      <c r="G738" s="13">
        <v>25.1</v>
      </c>
      <c r="H738" s="34">
        <v>28.9</v>
      </c>
      <c r="I738" s="13">
        <v>33.4</v>
      </c>
      <c r="J738" s="13">
        <v>25.1</v>
      </c>
      <c r="K738" s="19">
        <v>12</v>
      </c>
      <c r="L738" s="20">
        <v>88</v>
      </c>
      <c r="M738" s="6" t="s">
        <v>17</v>
      </c>
      <c r="N738" s="13">
        <v>1008</v>
      </c>
      <c r="O738" s="8">
        <v>73</v>
      </c>
      <c r="P738" s="8">
        <v>58</v>
      </c>
      <c r="Q738" s="8">
        <v>91</v>
      </c>
      <c r="R738" s="8">
        <v>77</v>
      </c>
      <c r="S738" s="8">
        <v>5</v>
      </c>
      <c r="T738" s="6" t="s">
        <v>6</v>
      </c>
      <c r="U738" s="20">
        <v>16</v>
      </c>
      <c r="V738" s="43" t="s">
        <v>6</v>
      </c>
    </row>
    <row r="739" spans="1:22" s="53" customFormat="1" x14ac:dyDescent="0.35">
      <c r="A739" s="2">
        <v>43411</v>
      </c>
      <c r="B739" s="3">
        <f t="shared" si="42"/>
        <v>2018</v>
      </c>
      <c r="C739" s="3">
        <f t="shared" si="43"/>
        <v>11</v>
      </c>
      <c r="D739" s="3">
        <f t="shared" si="44"/>
        <v>7</v>
      </c>
      <c r="E739" s="13">
        <v>27.8</v>
      </c>
      <c r="F739" s="13">
        <v>31</v>
      </c>
      <c r="G739" s="13">
        <v>29</v>
      </c>
      <c r="H739" s="34">
        <v>28.5</v>
      </c>
      <c r="I739" s="13">
        <v>32.4</v>
      </c>
      <c r="J739" s="13">
        <v>25.6</v>
      </c>
      <c r="K739" s="19">
        <v>0.9</v>
      </c>
      <c r="L739" s="20">
        <v>38</v>
      </c>
      <c r="M739" s="6" t="s">
        <v>17</v>
      </c>
      <c r="N739" s="13">
        <v>1007.4</v>
      </c>
      <c r="O739" s="8">
        <v>77</v>
      </c>
      <c r="P739" s="8">
        <v>69</v>
      </c>
      <c r="Q739" s="8">
        <v>79</v>
      </c>
      <c r="R739" s="8">
        <v>80</v>
      </c>
      <c r="S739" s="8">
        <v>3</v>
      </c>
      <c r="T739" s="6" t="s">
        <v>19</v>
      </c>
      <c r="U739" s="20">
        <v>10</v>
      </c>
      <c r="V739" s="43" t="s">
        <v>7</v>
      </c>
    </row>
    <row r="740" spans="1:22" s="53" customFormat="1" x14ac:dyDescent="0.35">
      <c r="A740" s="2">
        <v>43412</v>
      </c>
      <c r="B740" s="3">
        <f t="shared" si="42"/>
        <v>2018</v>
      </c>
      <c r="C740" s="3">
        <f t="shared" si="43"/>
        <v>11</v>
      </c>
      <c r="D740" s="3">
        <f t="shared" si="44"/>
        <v>8</v>
      </c>
      <c r="E740" s="13">
        <v>27.2</v>
      </c>
      <c r="F740" s="13">
        <v>30.4</v>
      </c>
      <c r="G740" s="13">
        <v>28.2</v>
      </c>
      <c r="H740" s="34">
        <v>28.2</v>
      </c>
      <c r="I740" s="13">
        <v>32</v>
      </c>
      <c r="J740" s="13">
        <v>25.4</v>
      </c>
      <c r="K740" s="19">
        <v>3.1</v>
      </c>
      <c r="L740" s="20">
        <v>54</v>
      </c>
      <c r="M740" s="6" t="s">
        <v>11</v>
      </c>
      <c r="N740" s="13">
        <v>1007.7</v>
      </c>
      <c r="O740" s="8">
        <v>86</v>
      </c>
      <c r="P740" s="8">
        <v>71</v>
      </c>
      <c r="Q740" s="8">
        <v>79</v>
      </c>
      <c r="R740" s="8">
        <v>80</v>
      </c>
      <c r="S740" s="8">
        <v>4</v>
      </c>
      <c r="T740" s="6" t="s">
        <v>19</v>
      </c>
      <c r="U740" s="20">
        <v>19</v>
      </c>
      <c r="V740" s="43" t="s">
        <v>7</v>
      </c>
    </row>
    <row r="741" spans="1:22" s="53" customFormat="1" x14ac:dyDescent="0.35">
      <c r="A741" s="2">
        <v>43413</v>
      </c>
      <c r="B741" s="3">
        <f t="shared" si="42"/>
        <v>2018</v>
      </c>
      <c r="C741" s="3">
        <f t="shared" si="43"/>
        <v>11</v>
      </c>
      <c r="D741" s="3">
        <f t="shared" si="44"/>
        <v>9</v>
      </c>
      <c r="E741" s="13">
        <v>27.2</v>
      </c>
      <c r="F741" s="13">
        <v>31.4</v>
      </c>
      <c r="G741" s="13">
        <v>29</v>
      </c>
      <c r="H741" s="34">
        <v>27.7</v>
      </c>
      <c r="I741" s="13">
        <v>31.4</v>
      </c>
      <c r="J741" s="13">
        <v>25.2</v>
      </c>
      <c r="K741" s="19">
        <v>0.7</v>
      </c>
      <c r="L741" s="20">
        <v>51</v>
      </c>
      <c r="M741" s="6" t="s">
        <v>11</v>
      </c>
      <c r="N741" s="13">
        <v>1008</v>
      </c>
      <c r="O741" s="8">
        <v>86</v>
      </c>
      <c r="P741" s="8">
        <v>58</v>
      </c>
      <c r="Q741" s="8">
        <v>74</v>
      </c>
      <c r="R741" s="8">
        <v>84</v>
      </c>
      <c r="S741" s="8">
        <v>3</v>
      </c>
      <c r="T741" s="6" t="s">
        <v>19</v>
      </c>
      <c r="U741" s="20">
        <v>8</v>
      </c>
      <c r="V741" s="43" t="s">
        <v>2</v>
      </c>
    </row>
    <row r="742" spans="1:22" s="53" customFormat="1" x14ac:dyDescent="0.35">
      <c r="A742" s="2">
        <v>43414</v>
      </c>
      <c r="B742" s="3">
        <f t="shared" si="42"/>
        <v>2018</v>
      </c>
      <c r="C742" s="3">
        <f t="shared" si="43"/>
        <v>11</v>
      </c>
      <c r="D742" s="3">
        <f t="shared" si="44"/>
        <v>10</v>
      </c>
      <c r="E742" s="13">
        <v>27.5</v>
      </c>
      <c r="F742" s="13">
        <v>31.8</v>
      </c>
      <c r="G742" s="13">
        <v>30</v>
      </c>
      <c r="H742" s="34">
        <v>29.1</v>
      </c>
      <c r="I742" s="13">
        <v>32.200000000000003</v>
      </c>
      <c r="J742" s="13">
        <v>26</v>
      </c>
      <c r="K742" s="15" t="s">
        <v>9</v>
      </c>
      <c r="L742" s="22">
        <v>100</v>
      </c>
      <c r="M742" s="6" t="s">
        <v>18</v>
      </c>
      <c r="N742" s="13">
        <v>1008.3</v>
      </c>
      <c r="O742" s="8">
        <v>79</v>
      </c>
      <c r="P742" s="8">
        <v>59</v>
      </c>
      <c r="Q742" s="8">
        <v>67</v>
      </c>
      <c r="R742" s="8">
        <v>74</v>
      </c>
      <c r="S742" s="8">
        <v>4</v>
      </c>
      <c r="T742" s="6" t="s">
        <v>19</v>
      </c>
      <c r="U742" s="20">
        <v>11</v>
      </c>
      <c r="V742" s="43" t="s">
        <v>7</v>
      </c>
    </row>
    <row r="743" spans="1:22" s="53" customFormat="1" x14ac:dyDescent="0.35">
      <c r="A743" s="2">
        <v>43415</v>
      </c>
      <c r="B743" s="3">
        <f t="shared" si="42"/>
        <v>2018</v>
      </c>
      <c r="C743" s="3">
        <f t="shared" si="43"/>
        <v>11</v>
      </c>
      <c r="D743" s="3">
        <f t="shared" si="44"/>
        <v>11</v>
      </c>
      <c r="E743" s="13">
        <v>28</v>
      </c>
      <c r="F743" s="13">
        <v>32.4</v>
      </c>
      <c r="G743" s="13">
        <v>29.4</v>
      </c>
      <c r="H743" s="34">
        <v>29.3</v>
      </c>
      <c r="I743" s="13">
        <v>32.799999999999997</v>
      </c>
      <c r="J743" s="13">
        <v>25.8</v>
      </c>
      <c r="K743" s="15" t="s">
        <v>9</v>
      </c>
      <c r="L743" s="20">
        <v>100</v>
      </c>
      <c r="M743" s="6" t="s">
        <v>18</v>
      </c>
      <c r="N743" s="13">
        <v>1009</v>
      </c>
      <c r="O743" s="8">
        <v>73</v>
      </c>
      <c r="P743" s="8">
        <v>55</v>
      </c>
      <c r="Q743" s="8">
        <v>71</v>
      </c>
      <c r="R743" s="8">
        <v>70</v>
      </c>
      <c r="S743" s="8">
        <v>5</v>
      </c>
      <c r="T743" s="6" t="s">
        <v>7</v>
      </c>
      <c r="U743" s="20">
        <v>12</v>
      </c>
      <c r="V743" s="43" t="s">
        <v>7</v>
      </c>
    </row>
    <row r="744" spans="1:22" s="53" customFormat="1" x14ac:dyDescent="0.35">
      <c r="A744" s="2">
        <v>43416</v>
      </c>
      <c r="B744" s="3">
        <f t="shared" si="42"/>
        <v>2018</v>
      </c>
      <c r="C744" s="3">
        <f t="shared" si="43"/>
        <v>11</v>
      </c>
      <c r="D744" s="3">
        <f t="shared" si="44"/>
        <v>12</v>
      </c>
      <c r="E744" s="13">
        <v>28.2</v>
      </c>
      <c r="F744" s="13">
        <v>31.6</v>
      </c>
      <c r="G744" s="13">
        <v>29.4</v>
      </c>
      <c r="H744" s="34">
        <v>29.1</v>
      </c>
      <c r="I744" s="13">
        <v>33</v>
      </c>
      <c r="J744" s="13">
        <v>26.2</v>
      </c>
      <c r="K744" s="15" t="s">
        <v>9</v>
      </c>
      <c r="L744" s="22">
        <v>38</v>
      </c>
      <c r="M744" s="6" t="s">
        <v>18</v>
      </c>
      <c r="N744" s="13">
        <v>1008.8</v>
      </c>
      <c r="O744" s="8">
        <v>73</v>
      </c>
      <c r="P744" s="8">
        <v>66</v>
      </c>
      <c r="Q744" s="8">
        <v>75</v>
      </c>
      <c r="R744" s="8">
        <v>75</v>
      </c>
      <c r="S744" s="8">
        <v>3</v>
      </c>
      <c r="T744" s="6" t="s">
        <v>19</v>
      </c>
      <c r="U744" s="20">
        <v>10</v>
      </c>
      <c r="V744" s="43" t="s">
        <v>2</v>
      </c>
    </row>
    <row r="745" spans="1:22" s="53" customFormat="1" x14ac:dyDescent="0.35">
      <c r="A745" s="2">
        <v>43417</v>
      </c>
      <c r="B745" s="3">
        <f t="shared" si="42"/>
        <v>2018</v>
      </c>
      <c r="C745" s="3">
        <f t="shared" si="43"/>
        <v>11</v>
      </c>
      <c r="D745" s="3">
        <f t="shared" si="44"/>
        <v>13</v>
      </c>
      <c r="E745" s="13">
        <v>27.2</v>
      </c>
      <c r="F745" s="13">
        <v>31.6</v>
      </c>
      <c r="G745" s="13">
        <v>29.4</v>
      </c>
      <c r="H745" s="34">
        <v>28.8</v>
      </c>
      <c r="I745" s="13">
        <v>32.200000000000003</v>
      </c>
      <c r="J745" s="13">
        <v>26.2</v>
      </c>
      <c r="K745" s="19">
        <v>3</v>
      </c>
      <c r="L745" s="20">
        <v>75</v>
      </c>
      <c r="M745" s="6" t="s">
        <v>11</v>
      </c>
      <c r="N745" s="13">
        <v>1008.1</v>
      </c>
      <c r="O745" s="8">
        <v>79</v>
      </c>
      <c r="P745" s="8">
        <v>60</v>
      </c>
      <c r="Q745" s="8">
        <v>74</v>
      </c>
      <c r="R745" s="8">
        <v>75</v>
      </c>
      <c r="S745" s="8">
        <v>4</v>
      </c>
      <c r="T745" s="6" t="s">
        <v>19</v>
      </c>
      <c r="U745" s="20">
        <v>11</v>
      </c>
      <c r="V745" s="43" t="s">
        <v>2</v>
      </c>
    </row>
    <row r="746" spans="1:22" s="53" customFormat="1" x14ac:dyDescent="0.35">
      <c r="A746" s="2">
        <v>43418</v>
      </c>
      <c r="B746" s="3">
        <f t="shared" si="42"/>
        <v>2018</v>
      </c>
      <c r="C746" s="3">
        <f t="shared" si="43"/>
        <v>11</v>
      </c>
      <c r="D746" s="3">
        <f t="shared" si="44"/>
        <v>14</v>
      </c>
      <c r="E746" s="13">
        <v>28.4</v>
      </c>
      <c r="F746" s="13">
        <v>32.200000000000003</v>
      </c>
      <c r="G746" s="13">
        <v>30</v>
      </c>
      <c r="H746" s="34">
        <v>29.5</v>
      </c>
      <c r="I746" s="13">
        <v>33.200000000000003</v>
      </c>
      <c r="J746" s="13">
        <v>26.6</v>
      </c>
      <c r="K746" s="15" t="s">
        <v>9</v>
      </c>
      <c r="L746" s="20">
        <v>96</v>
      </c>
      <c r="M746" s="6" t="s">
        <v>18</v>
      </c>
      <c r="N746" s="13">
        <v>1008.3</v>
      </c>
      <c r="O746" s="8">
        <v>75</v>
      </c>
      <c r="P746" s="8">
        <v>61</v>
      </c>
      <c r="Q746" s="8">
        <v>67</v>
      </c>
      <c r="R746" s="8">
        <v>69</v>
      </c>
      <c r="S746" s="8">
        <v>5</v>
      </c>
      <c r="T746" s="6" t="s">
        <v>4</v>
      </c>
      <c r="U746" s="20">
        <v>9</v>
      </c>
      <c r="V746" s="43" t="s">
        <v>2</v>
      </c>
    </row>
    <row r="747" spans="1:22" s="53" customFormat="1" x14ac:dyDescent="0.35">
      <c r="A747" s="2">
        <v>43419</v>
      </c>
      <c r="B747" s="3">
        <f t="shared" si="42"/>
        <v>2018</v>
      </c>
      <c r="C747" s="3">
        <f t="shared" si="43"/>
        <v>11</v>
      </c>
      <c r="D747" s="3">
        <f t="shared" si="44"/>
        <v>15</v>
      </c>
      <c r="E747" s="13">
        <v>29.3</v>
      </c>
      <c r="F747" s="13">
        <v>33</v>
      </c>
      <c r="G747" s="13">
        <v>30</v>
      </c>
      <c r="H747" s="34">
        <v>30.2</v>
      </c>
      <c r="I747" s="13">
        <v>35.4</v>
      </c>
      <c r="J747" s="13">
        <v>26.8</v>
      </c>
      <c r="K747" s="90">
        <v>2</v>
      </c>
      <c r="L747" s="20">
        <v>84</v>
      </c>
      <c r="M747" s="6" t="s">
        <v>11</v>
      </c>
      <c r="N747" s="13">
        <v>1009.5</v>
      </c>
      <c r="O747" s="8">
        <v>69</v>
      </c>
      <c r="P747" s="8">
        <v>61</v>
      </c>
      <c r="Q747" s="8">
        <v>78</v>
      </c>
      <c r="R747" s="8">
        <v>68</v>
      </c>
      <c r="S747" s="8">
        <v>5</v>
      </c>
      <c r="T747" s="6" t="s">
        <v>6</v>
      </c>
      <c r="U747" s="20">
        <v>11</v>
      </c>
      <c r="V747" s="43" t="s">
        <v>6</v>
      </c>
    </row>
    <row r="748" spans="1:22" s="53" customFormat="1" x14ac:dyDescent="0.35">
      <c r="A748" s="2">
        <v>43420</v>
      </c>
      <c r="B748" s="3">
        <f t="shared" si="42"/>
        <v>2018</v>
      </c>
      <c r="C748" s="3">
        <f t="shared" si="43"/>
        <v>11</v>
      </c>
      <c r="D748" s="3">
        <f t="shared" si="44"/>
        <v>16</v>
      </c>
      <c r="E748" s="13">
        <v>28.2</v>
      </c>
      <c r="F748" s="13">
        <v>33.6</v>
      </c>
      <c r="G748" s="13">
        <v>28.4</v>
      </c>
      <c r="H748" s="34">
        <v>30</v>
      </c>
      <c r="I748" s="13">
        <v>34.4</v>
      </c>
      <c r="J748" s="13">
        <v>27</v>
      </c>
      <c r="K748" s="15" t="s">
        <v>9</v>
      </c>
      <c r="L748" s="20">
        <v>88</v>
      </c>
      <c r="M748" s="6"/>
      <c r="N748" s="13">
        <v>1010.1</v>
      </c>
      <c r="O748" s="8">
        <v>71</v>
      </c>
      <c r="P748" s="8">
        <v>54</v>
      </c>
      <c r="Q748" s="8">
        <v>62</v>
      </c>
      <c r="R748" s="8">
        <v>63</v>
      </c>
      <c r="S748" s="8">
        <v>5</v>
      </c>
      <c r="T748" s="6" t="s">
        <v>6</v>
      </c>
      <c r="U748" s="20">
        <v>11</v>
      </c>
      <c r="V748" s="43" t="s">
        <v>7</v>
      </c>
    </row>
    <row r="749" spans="1:22" s="53" customFormat="1" x14ac:dyDescent="0.35">
      <c r="A749" s="2">
        <v>43421</v>
      </c>
      <c r="B749" s="3">
        <f t="shared" si="42"/>
        <v>2018</v>
      </c>
      <c r="C749" s="3">
        <f t="shared" si="43"/>
        <v>11</v>
      </c>
      <c r="D749" s="3">
        <f t="shared" si="44"/>
        <v>17</v>
      </c>
      <c r="E749" s="13">
        <v>29</v>
      </c>
      <c r="F749" s="13">
        <v>33.6</v>
      </c>
      <c r="G749" s="13">
        <v>30.7</v>
      </c>
      <c r="H749" s="34">
        <v>29.9</v>
      </c>
      <c r="I749" s="13">
        <v>34.200000000000003</v>
      </c>
      <c r="J749" s="13">
        <v>26.2</v>
      </c>
      <c r="K749" s="19">
        <v>0</v>
      </c>
      <c r="L749" s="20">
        <v>73</v>
      </c>
      <c r="M749" s="6" t="s">
        <v>17</v>
      </c>
      <c r="N749" s="13">
        <v>1009.6</v>
      </c>
      <c r="O749" s="8">
        <v>65</v>
      </c>
      <c r="P749" s="8">
        <v>51</v>
      </c>
      <c r="Q749" s="8">
        <v>68</v>
      </c>
      <c r="R749" s="8">
        <v>70</v>
      </c>
      <c r="S749" s="8">
        <v>4</v>
      </c>
      <c r="T749" s="6" t="s">
        <v>7</v>
      </c>
      <c r="U749" s="20">
        <v>12</v>
      </c>
      <c r="V749" s="12" t="s">
        <v>2</v>
      </c>
    </row>
    <row r="750" spans="1:22" s="53" customFormat="1" x14ac:dyDescent="0.35">
      <c r="A750" s="2">
        <v>43422</v>
      </c>
      <c r="B750" s="3">
        <f t="shared" si="42"/>
        <v>2018</v>
      </c>
      <c r="C750" s="3">
        <f t="shared" si="43"/>
        <v>11</v>
      </c>
      <c r="D750" s="3">
        <f t="shared" si="44"/>
        <v>18</v>
      </c>
      <c r="E750" s="13">
        <v>27.8</v>
      </c>
      <c r="F750" s="13">
        <v>32.799999999999997</v>
      </c>
      <c r="G750" s="13">
        <v>30</v>
      </c>
      <c r="H750" s="34">
        <v>29.7</v>
      </c>
      <c r="I750" s="13">
        <v>33.200000000000003</v>
      </c>
      <c r="J750" s="13">
        <v>26</v>
      </c>
      <c r="K750" s="15" t="s">
        <v>9</v>
      </c>
      <c r="L750" s="20">
        <v>93</v>
      </c>
      <c r="M750" s="6"/>
      <c r="N750" s="13">
        <v>1010.8</v>
      </c>
      <c r="O750" s="8">
        <v>82</v>
      </c>
      <c r="P750" s="8">
        <v>64</v>
      </c>
      <c r="Q750" s="8">
        <v>68</v>
      </c>
      <c r="R750" s="8">
        <v>71</v>
      </c>
      <c r="S750" s="8">
        <v>3</v>
      </c>
      <c r="T750" s="6" t="s">
        <v>19</v>
      </c>
      <c r="U750" s="20">
        <v>11</v>
      </c>
      <c r="V750" s="43" t="s">
        <v>7</v>
      </c>
    </row>
    <row r="751" spans="1:22" s="53" customFormat="1" x14ac:dyDescent="0.35">
      <c r="A751" s="2">
        <v>43423</v>
      </c>
      <c r="B751" s="3">
        <f t="shared" si="42"/>
        <v>2018</v>
      </c>
      <c r="C751" s="3">
        <f t="shared" si="43"/>
        <v>11</v>
      </c>
      <c r="D751" s="3">
        <f t="shared" si="44"/>
        <v>19</v>
      </c>
      <c r="E751" s="13">
        <v>28.3</v>
      </c>
      <c r="F751" s="13">
        <v>33</v>
      </c>
      <c r="G751" s="13">
        <v>30.4</v>
      </c>
      <c r="H751" s="34">
        <v>29.8</v>
      </c>
      <c r="I751" s="13">
        <v>33.6</v>
      </c>
      <c r="J751" s="13">
        <v>26.2</v>
      </c>
      <c r="K751" s="15" t="s">
        <v>9</v>
      </c>
      <c r="L751" s="20">
        <v>100</v>
      </c>
      <c r="M751" s="6" t="s">
        <v>20</v>
      </c>
      <c r="N751" s="13">
        <v>1010.6</v>
      </c>
      <c r="O751" s="8">
        <v>73</v>
      </c>
      <c r="P751" s="8">
        <v>55</v>
      </c>
      <c r="Q751" s="8">
        <v>71</v>
      </c>
      <c r="R751" s="8">
        <v>69</v>
      </c>
      <c r="S751" s="8">
        <v>5</v>
      </c>
      <c r="T751" s="6" t="s">
        <v>2</v>
      </c>
      <c r="U751" s="20">
        <v>12</v>
      </c>
      <c r="V751" s="43" t="s">
        <v>2</v>
      </c>
    </row>
    <row r="752" spans="1:22" s="53" customFormat="1" x14ac:dyDescent="0.35">
      <c r="A752" s="2">
        <v>43424</v>
      </c>
      <c r="B752" s="3">
        <f t="shared" si="42"/>
        <v>2018</v>
      </c>
      <c r="C752" s="3">
        <f t="shared" si="43"/>
        <v>11</v>
      </c>
      <c r="D752" s="3">
        <f t="shared" si="44"/>
        <v>20</v>
      </c>
      <c r="E752" s="13">
        <v>29</v>
      </c>
      <c r="F752" s="13">
        <v>33.200000000000003</v>
      </c>
      <c r="G752" s="13">
        <v>29.6</v>
      </c>
      <c r="H752" s="34">
        <v>28.5</v>
      </c>
      <c r="I752" s="13">
        <v>33.6</v>
      </c>
      <c r="J752" s="13">
        <v>23.2</v>
      </c>
      <c r="K752" s="19">
        <v>11.6</v>
      </c>
      <c r="L752" s="20">
        <v>99</v>
      </c>
      <c r="M752" s="6" t="s">
        <v>17</v>
      </c>
      <c r="N752" s="13">
        <v>1010.4</v>
      </c>
      <c r="O752" s="8">
        <v>68</v>
      </c>
      <c r="P752" s="8">
        <v>56</v>
      </c>
      <c r="Q752" s="8">
        <v>72</v>
      </c>
      <c r="R752" s="8">
        <v>77</v>
      </c>
      <c r="S752" s="8">
        <v>5</v>
      </c>
      <c r="T752" s="6" t="s">
        <v>5</v>
      </c>
      <c r="U752" s="20">
        <v>15</v>
      </c>
      <c r="V752" s="12" t="s">
        <v>5</v>
      </c>
    </row>
    <row r="753" spans="1:22" s="53" customFormat="1" x14ac:dyDescent="0.35">
      <c r="A753" s="2">
        <v>43425</v>
      </c>
      <c r="B753" s="3">
        <f t="shared" si="42"/>
        <v>2018</v>
      </c>
      <c r="C753" s="3">
        <f t="shared" si="43"/>
        <v>11</v>
      </c>
      <c r="D753" s="3">
        <f t="shared" si="44"/>
        <v>21</v>
      </c>
      <c r="E753" s="13">
        <v>27.4</v>
      </c>
      <c r="F753" s="13">
        <v>31.9</v>
      </c>
      <c r="G753" s="13">
        <v>29.4</v>
      </c>
      <c r="H753" s="34">
        <v>28.2</v>
      </c>
      <c r="I753" s="13">
        <v>33</v>
      </c>
      <c r="J753" s="13">
        <v>24.2</v>
      </c>
      <c r="K753" s="19">
        <v>32.6</v>
      </c>
      <c r="L753" s="20">
        <v>100</v>
      </c>
      <c r="M753" s="6" t="s">
        <v>17</v>
      </c>
      <c r="N753" s="13">
        <v>1010</v>
      </c>
      <c r="O753" s="8">
        <v>76</v>
      </c>
      <c r="P753" s="8">
        <v>62</v>
      </c>
      <c r="Q753" s="8">
        <v>75</v>
      </c>
      <c r="R753" s="8">
        <v>79</v>
      </c>
      <c r="S753" s="8">
        <v>6</v>
      </c>
      <c r="T753" s="6" t="s">
        <v>5</v>
      </c>
      <c r="U753" s="20">
        <v>27</v>
      </c>
      <c r="V753" s="12" t="s">
        <v>4</v>
      </c>
    </row>
    <row r="754" spans="1:22" s="53" customFormat="1" x14ac:dyDescent="0.35">
      <c r="A754" s="2">
        <v>43426</v>
      </c>
      <c r="B754" s="3">
        <f t="shared" si="42"/>
        <v>2018</v>
      </c>
      <c r="C754" s="3">
        <f t="shared" si="43"/>
        <v>11</v>
      </c>
      <c r="D754" s="3">
        <f t="shared" si="44"/>
        <v>22</v>
      </c>
      <c r="E754" s="13">
        <v>27.2</v>
      </c>
      <c r="F754" s="13">
        <v>34</v>
      </c>
      <c r="G754" s="13">
        <v>28</v>
      </c>
      <c r="H754" s="34">
        <v>28.8</v>
      </c>
      <c r="I754" s="13">
        <v>34.4</v>
      </c>
      <c r="J754" s="13">
        <v>25.2</v>
      </c>
      <c r="K754" s="19">
        <v>0.2</v>
      </c>
      <c r="L754" s="20">
        <v>94</v>
      </c>
      <c r="M754" s="6" t="s">
        <v>11</v>
      </c>
      <c r="N754" s="13">
        <v>1010.3</v>
      </c>
      <c r="O754" s="8">
        <v>81</v>
      </c>
      <c r="P754" s="8">
        <v>49</v>
      </c>
      <c r="Q754" s="8">
        <v>75</v>
      </c>
      <c r="R754" s="8">
        <v>74</v>
      </c>
      <c r="S754" s="8">
        <v>3</v>
      </c>
      <c r="T754" s="6" t="s">
        <v>19</v>
      </c>
      <c r="U754" s="20">
        <v>9</v>
      </c>
      <c r="V754" s="43" t="s">
        <v>6</v>
      </c>
    </row>
    <row r="755" spans="1:22" s="53" customFormat="1" x14ac:dyDescent="0.35">
      <c r="A755" s="2">
        <v>43427</v>
      </c>
      <c r="B755" s="3">
        <f t="shared" si="42"/>
        <v>2018</v>
      </c>
      <c r="C755" s="3">
        <f t="shared" si="43"/>
        <v>11</v>
      </c>
      <c r="D755" s="3">
        <f t="shared" si="44"/>
        <v>23</v>
      </c>
      <c r="E755" s="13">
        <v>27.6</v>
      </c>
      <c r="F755" s="13">
        <v>32.6</v>
      </c>
      <c r="G755" s="13">
        <v>29.8</v>
      </c>
      <c r="H755" s="34">
        <v>29.4</v>
      </c>
      <c r="I755" s="13">
        <v>34</v>
      </c>
      <c r="J755" s="13">
        <v>26</v>
      </c>
      <c r="K755" s="15" t="s">
        <v>9</v>
      </c>
      <c r="L755" s="20">
        <v>100</v>
      </c>
      <c r="M755" s="6"/>
      <c r="N755" s="13">
        <v>1010.8</v>
      </c>
      <c r="O755" s="8">
        <v>69</v>
      </c>
      <c r="P755" s="8">
        <v>55</v>
      </c>
      <c r="Q755" s="8">
        <v>72</v>
      </c>
      <c r="R755" s="8">
        <v>64</v>
      </c>
      <c r="S755" s="8">
        <v>6</v>
      </c>
      <c r="T755" s="6" t="s">
        <v>6</v>
      </c>
      <c r="U755" s="20">
        <v>11</v>
      </c>
      <c r="V755" s="43" t="s">
        <v>7</v>
      </c>
    </row>
    <row r="756" spans="1:22" s="53" customFormat="1" x14ac:dyDescent="0.35">
      <c r="A756" s="2">
        <v>43428</v>
      </c>
      <c r="B756" s="3">
        <f t="shared" si="42"/>
        <v>2018</v>
      </c>
      <c r="C756" s="3">
        <f t="shared" si="43"/>
        <v>11</v>
      </c>
      <c r="D756" s="3">
        <f t="shared" si="44"/>
        <v>24</v>
      </c>
      <c r="E756" s="13">
        <v>27.2</v>
      </c>
      <c r="F756" s="13">
        <v>31</v>
      </c>
      <c r="G756" s="13">
        <v>28.6</v>
      </c>
      <c r="H756" s="34">
        <v>28.4</v>
      </c>
      <c r="I756" s="13">
        <v>32.200000000000003</v>
      </c>
      <c r="J756" s="13">
        <v>26</v>
      </c>
      <c r="K756" s="15" t="s">
        <v>9</v>
      </c>
      <c r="L756" s="20">
        <v>21</v>
      </c>
      <c r="M756" s="6"/>
      <c r="N756" s="13">
        <v>1010.5</v>
      </c>
      <c r="O756" s="8">
        <v>71</v>
      </c>
      <c r="P756" s="8">
        <v>60</v>
      </c>
      <c r="Q756" s="8">
        <v>75</v>
      </c>
      <c r="R756" s="8">
        <v>75</v>
      </c>
      <c r="S756" s="8">
        <v>4</v>
      </c>
      <c r="T756" s="6" t="s">
        <v>6</v>
      </c>
      <c r="U756" s="20">
        <v>10</v>
      </c>
      <c r="V756" s="43" t="s">
        <v>2</v>
      </c>
    </row>
    <row r="757" spans="1:22" s="53" customFormat="1" x14ac:dyDescent="0.35">
      <c r="A757" s="2">
        <v>43429</v>
      </c>
      <c r="B757" s="3">
        <f t="shared" si="42"/>
        <v>2018</v>
      </c>
      <c r="C757" s="3">
        <f t="shared" si="43"/>
        <v>11</v>
      </c>
      <c r="D757" s="3">
        <f t="shared" si="44"/>
        <v>25</v>
      </c>
      <c r="E757" s="13">
        <v>26.9</v>
      </c>
      <c r="F757" s="13">
        <v>31.7</v>
      </c>
      <c r="G757" s="13">
        <v>29</v>
      </c>
      <c r="H757" s="34">
        <v>27.6</v>
      </c>
      <c r="I757" s="13">
        <v>32.6</v>
      </c>
      <c r="J757" s="13">
        <v>24</v>
      </c>
      <c r="K757" s="19">
        <v>23.3</v>
      </c>
      <c r="L757" s="20">
        <v>73</v>
      </c>
      <c r="M757" s="6" t="s">
        <v>11</v>
      </c>
      <c r="N757" s="13">
        <v>1010.8</v>
      </c>
      <c r="O757" s="8">
        <v>78</v>
      </c>
      <c r="P757" s="8">
        <v>58</v>
      </c>
      <c r="Q757" s="8">
        <v>77</v>
      </c>
      <c r="R757" s="8">
        <v>80</v>
      </c>
      <c r="S757" s="8">
        <v>4</v>
      </c>
      <c r="T757" s="6" t="s">
        <v>19</v>
      </c>
      <c r="U757" s="37">
        <v>12</v>
      </c>
      <c r="V757" s="58" t="s">
        <v>2</v>
      </c>
    </row>
    <row r="758" spans="1:22" s="53" customFormat="1" x14ac:dyDescent="0.35">
      <c r="A758" s="2">
        <v>43430</v>
      </c>
      <c r="B758" s="3">
        <f t="shared" si="42"/>
        <v>2018</v>
      </c>
      <c r="C758" s="3">
        <f t="shared" si="43"/>
        <v>11</v>
      </c>
      <c r="D758" s="3">
        <f t="shared" si="44"/>
        <v>26</v>
      </c>
      <c r="E758" s="13">
        <v>25</v>
      </c>
      <c r="F758" s="13">
        <v>28.6</v>
      </c>
      <c r="G758" s="13">
        <v>27.8</v>
      </c>
      <c r="H758" s="34">
        <v>26.8</v>
      </c>
      <c r="I758" s="13">
        <v>29.8</v>
      </c>
      <c r="J758" s="13">
        <v>24.2</v>
      </c>
      <c r="K758" s="19">
        <v>0</v>
      </c>
      <c r="L758" s="20">
        <v>3</v>
      </c>
      <c r="M758" s="6" t="s">
        <v>11</v>
      </c>
      <c r="N758" s="13">
        <v>1011</v>
      </c>
      <c r="O758" s="8">
        <v>92</v>
      </c>
      <c r="P758" s="8">
        <v>76</v>
      </c>
      <c r="Q758" s="8">
        <v>86</v>
      </c>
      <c r="R758" s="8">
        <v>87</v>
      </c>
      <c r="S758" s="8">
        <v>2</v>
      </c>
      <c r="T758" s="6" t="s">
        <v>19</v>
      </c>
      <c r="U758" s="20">
        <v>5</v>
      </c>
      <c r="V758" s="12" t="s">
        <v>3</v>
      </c>
    </row>
    <row r="759" spans="1:22" s="53" customFormat="1" x14ac:dyDescent="0.35">
      <c r="A759" s="2">
        <v>43431</v>
      </c>
      <c r="B759" s="3">
        <f t="shared" si="42"/>
        <v>2018</v>
      </c>
      <c r="C759" s="3">
        <f t="shared" si="43"/>
        <v>11</v>
      </c>
      <c r="D759" s="3">
        <f t="shared" si="44"/>
        <v>27</v>
      </c>
      <c r="E759" s="13">
        <v>27</v>
      </c>
      <c r="F759" s="13">
        <v>30.9</v>
      </c>
      <c r="G759" s="13">
        <v>29</v>
      </c>
      <c r="H759" s="34">
        <v>28.3</v>
      </c>
      <c r="I759" s="13">
        <v>31.3</v>
      </c>
      <c r="J759" s="13">
        <v>25.6</v>
      </c>
      <c r="K759" s="15" t="s">
        <v>9</v>
      </c>
      <c r="L759" s="20">
        <v>100</v>
      </c>
      <c r="M759" s="6" t="s">
        <v>13</v>
      </c>
      <c r="N759" s="13">
        <v>1011.1</v>
      </c>
      <c r="O759" s="8">
        <v>76</v>
      </c>
      <c r="P759" s="8">
        <v>66</v>
      </c>
      <c r="Q759" s="8">
        <v>77</v>
      </c>
      <c r="R759" s="8">
        <v>78</v>
      </c>
      <c r="S759" s="8">
        <v>4</v>
      </c>
      <c r="T759" s="6" t="s">
        <v>7</v>
      </c>
      <c r="U759" s="20">
        <v>10</v>
      </c>
      <c r="V759" s="12" t="s">
        <v>7</v>
      </c>
    </row>
    <row r="760" spans="1:22" s="53" customFormat="1" x14ac:dyDescent="0.35">
      <c r="A760" s="2">
        <v>43432</v>
      </c>
      <c r="B760" s="3">
        <f t="shared" si="42"/>
        <v>2018</v>
      </c>
      <c r="C760" s="3">
        <f t="shared" si="43"/>
        <v>11</v>
      </c>
      <c r="D760" s="3">
        <f t="shared" si="44"/>
        <v>28</v>
      </c>
      <c r="E760" s="13">
        <v>27.2</v>
      </c>
      <c r="F760" s="13">
        <v>31</v>
      </c>
      <c r="G760" s="13">
        <v>28.2</v>
      </c>
      <c r="H760" s="34">
        <v>28.1</v>
      </c>
      <c r="I760" s="13">
        <v>31.2</v>
      </c>
      <c r="J760" s="13">
        <v>25.8</v>
      </c>
      <c r="K760" s="14" t="s">
        <v>9</v>
      </c>
      <c r="L760" s="20">
        <v>6</v>
      </c>
      <c r="M760" s="6" t="s">
        <v>20</v>
      </c>
      <c r="N760" s="13">
        <v>1011</v>
      </c>
      <c r="O760" s="8">
        <v>80</v>
      </c>
      <c r="P760" s="8">
        <v>60</v>
      </c>
      <c r="Q760" s="8">
        <v>78</v>
      </c>
      <c r="R760" s="8">
        <v>77</v>
      </c>
      <c r="S760" s="8">
        <v>3</v>
      </c>
      <c r="T760" s="6" t="s">
        <v>19</v>
      </c>
      <c r="U760" s="20">
        <v>8</v>
      </c>
      <c r="V760" s="12" t="s">
        <v>7</v>
      </c>
    </row>
    <row r="761" spans="1:22" s="53" customFormat="1" x14ac:dyDescent="0.35">
      <c r="A761" s="2">
        <v>43433</v>
      </c>
      <c r="B761" s="3">
        <f t="shared" si="42"/>
        <v>2018</v>
      </c>
      <c r="C761" s="3">
        <f t="shared" si="43"/>
        <v>11</v>
      </c>
      <c r="D761" s="3">
        <f t="shared" si="44"/>
        <v>29</v>
      </c>
      <c r="E761" s="13">
        <v>27.8</v>
      </c>
      <c r="F761" s="13">
        <v>31.6</v>
      </c>
      <c r="G761" s="13">
        <v>25.8</v>
      </c>
      <c r="H761" s="34">
        <v>27.8</v>
      </c>
      <c r="I761" s="13">
        <v>32.200000000000003</v>
      </c>
      <c r="J761" s="13">
        <v>25</v>
      </c>
      <c r="K761" s="19">
        <v>1.3</v>
      </c>
      <c r="L761" s="20">
        <v>84</v>
      </c>
      <c r="M761" s="6" t="s">
        <v>11</v>
      </c>
      <c r="N761" s="13">
        <v>1010.9</v>
      </c>
      <c r="O761" s="8">
        <v>77</v>
      </c>
      <c r="P761" s="8">
        <v>64</v>
      </c>
      <c r="Q761" s="8">
        <v>95</v>
      </c>
      <c r="R761" s="8">
        <v>82</v>
      </c>
      <c r="S761" s="8">
        <v>5</v>
      </c>
      <c r="T761" s="6" t="s">
        <v>4</v>
      </c>
      <c r="U761" s="20">
        <v>12</v>
      </c>
      <c r="V761" s="12" t="s">
        <v>2</v>
      </c>
    </row>
    <row r="762" spans="1:22" s="53" customFormat="1" x14ac:dyDescent="0.35">
      <c r="A762" s="2">
        <v>43434</v>
      </c>
      <c r="B762" s="3">
        <f t="shared" si="42"/>
        <v>2018</v>
      </c>
      <c r="C762" s="3">
        <f t="shared" si="43"/>
        <v>11</v>
      </c>
      <c r="D762" s="3">
        <f t="shared" si="44"/>
        <v>30</v>
      </c>
      <c r="E762" s="13">
        <v>25.6</v>
      </c>
      <c r="F762" s="13">
        <v>30.7</v>
      </c>
      <c r="G762" s="13">
        <v>25.8</v>
      </c>
      <c r="H762" s="34">
        <v>27.4</v>
      </c>
      <c r="I762" s="13">
        <v>31.6</v>
      </c>
      <c r="J762" s="13">
        <v>25.6</v>
      </c>
      <c r="K762" s="19">
        <v>0</v>
      </c>
      <c r="L762" s="20">
        <v>4</v>
      </c>
      <c r="M762" s="6" t="s">
        <v>11</v>
      </c>
      <c r="N762" s="13">
        <v>1010.5</v>
      </c>
      <c r="O762" s="8">
        <v>90</v>
      </c>
      <c r="P762" s="8">
        <v>65</v>
      </c>
      <c r="Q762" s="8">
        <v>89</v>
      </c>
      <c r="R762" s="8">
        <v>82</v>
      </c>
      <c r="S762" s="8">
        <v>2</v>
      </c>
      <c r="T762" s="6" t="s">
        <v>19</v>
      </c>
      <c r="U762" s="20">
        <v>11</v>
      </c>
      <c r="V762" s="12" t="s">
        <v>1</v>
      </c>
    </row>
    <row r="763" spans="1:22" s="53" customFormat="1" x14ac:dyDescent="0.35">
      <c r="A763" s="2">
        <v>43435</v>
      </c>
      <c r="B763" s="3">
        <f t="shared" si="42"/>
        <v>2018</v>
      </c>
      <c r="C763" s="3">
        <f t="shared" si="43"/>
        <v>12</v>
      </c>
      <c r="D763" s="3">
        <f t="shared" si="44"/>
        <v>1</v>
      </c>
      <c r="E763" s="13">
        <v>27.2</v>
      </c>
      <c r="F763" s="13">
        <v>31.5</v>
      </c>
      <c r="G763" s="13">
        <v>28.8</v>
      </c>
      <c r="H763" s="34">
        <v>27.8</v>
      </c>
      <c r="I763" s="13">
        <v>32.299999999999997</v>
      </c>
      <c r="J763" s="13">
        <v>25.3</v>
      </c>
      <c r="K763" s="19">
        <v>0</v>
      </c>
      <c r="L763" s="20">
        <v>20</v>
      </c>
      <c r="M763" s="6" t="s">
        <v>17</v>
      </c>
      <c r="N763" s="13">
        <v>1009.6</v>
      </c>
      <c r="O763" s="8">
        <v>84</v>
      </c>
      <c r="P763" s="8">
        <v>60</v>
      </c>
      <c r="Q763" s="8">
        <v>75</v>
      </c>
      <c r="R763" s="8">
        <v>79</v>
      </c>
      <c r="S763" s="20">
        <v>3</v>
      </c>
      <c r="T763" s="6" t="s">
        <v>19</v>
      </c>
      <c r="U763" s="20">
        <v>10</v>
      </c>
      <c r="V763" s="43" t="s">
        <v>2</v>
      </c>
    </row>
    <row r="764" spans="1:22" s="53" customFormat="1" x14ac:dyDescent="0.35">
      <c r="A764" s="2">
        <v>43436</v>
      </c>
      <c r="B764" s="3">
        <f t="shared" si="42"/>
        <v>2018</v>
      </c>
      <c r="C764" s="3">
        <f t="shared" si="43"/>
        <v>12</v>
      </c>
      <c r="D764" s="3">
        <f t="shared" si="44"/>
        <v>2</v>
      </c>
      <c r="E764" s="13">
        <v>27.8</v>
      </c>
      <c r="F764" s="13">
        <v>31</v>
      </c>
      <c r="G764" s="13">
        <v>29</v>
      </c>
      <c r="H764" s="34">
        <v>27.8</v>
      </c>
      <c r="I764" s="13">
        <v>31.6</v>
      </c>
      <c r="J764" s="13">
        <v>24</v>
      </c>
      <c r="K764" s="19">
        <v>0</v>
      </c>
      <c r="L764" s="20">
        <v>49</v>
      </c>
      <c r="M764" s="6" t="s">
        <v>17</v>
      </c>
      <c r="N764" s="13">
        <v>1008.6</v>
      </c>
      <c r="O764" s="8">
        <v>72</v>
      </c>
      <c r="P764" s="8">
        <v>66</v>
      </c>
      <c r="Q764" s="8">
        <v>75</v>
      </c>
      <c r="R764" s="8">
        <v>80</v>
      </c>
      <c r="S764" s="20">
        <v>5</v>
      </c>
      <c r="T764" s="6" t="s">
        <v>7</v>
      </c>
      <c r="U764" s="20">
        <v>10</v>
      </c>
      <c r="V764" s="43" t="s">
        <v>6</v>
      </c>
    </row>
    <row r="765" spans="1:22" s="53" customFormat="1" x14ac:dyDescent="0.35">
      <c r="A765" s="2">
        <v>43437</v>
      </c>
      <c r="B765" s="3">
        <f t="shared" si="42"/>
        <v>2018</v>
      </c>
      <c r="C765" s="3">
        <f t="shared" si="43"/>
        <v>12</v>
      </c>
      <c r="D765" s="3">
        <f t="shared" si="44"/>
        <v>3</v>
      </c>
      <c r="E765" s="13">
        <v>26.4</v>
      </c>
      <c r="F765" s="13">
        <v>29.8</v>
      </c>
      <c r="G765" s="13">
        <v>27</v>
      </c>
      <c r="H765" s="34">
        <v>27</v>
      </c>
      <c r="I765" s="13">
        <v>30.4</v>
      </c>
      <c r="J765" s="13">
        <v>24.8</v>
      </c>
      <c r="K765" s="19">
        <v>20.9</v>
      </c>
      <c r="L765" s="20">
        <v>18</v>
      </c>
      <c r="M765" s="6" t="s">
        <v>11</v>
      </c>
      <c r="N765" s="13">
        <v>1008.7</v>
      </c>
      <c r="O765" s="8">
        <v>89</v>
      </c>
      <c r="P765" s="8">
        <v>73</v>
      </c>
      <c r="Q765" s="8">
        <v>84</v>
      </c>
      <c r="R765" s="8">
        <v>86</v>
      </c>
      <c r="S765" s="20">
        <v>2</v>
      </c>
      <c r="T765" s="6" t="s">
        <v>19</v>
      </c>
      <c r="U765" s="20">
        <v>8</v>
      </c>
      <c r="V765" s="43" t="s">
        <v>7</v>
      </c>
    </row>
    <row r="766" spans="1:22" s="53" customFormat="1" x14ac:dyDescent="0.35">
      <c r="A766" s="2">
        <v>43438</v>
      </c>
      <c r="B766" s="3">
        <f t="shared" si="42"/>
        <v>2018</v>
      </c>
      <c r="C766" s="3">
        <f t="shared" si="43"/>
        <v>12</v>
      </c>
      <c r="D766" s="3">
        <f t="shared" si="44"/>
        <v>4</v>
      </c>
      <c r="E766" s="13">
        <v>27.1</v>
      </c>
      <c r="F766" s="13">
        <v>30.8</v>
      </c>
      <c r="G766" s="13">
        <v>29.4</v>
      </c>
      <c r="H766" s="34">
        <v>27.9</v>
      </c>
      <c r="I766" s="13">
        <v>31.2</v>
      </c>
      <c r="J766" s="13">
        <v>24.4</v>
      </c>
      <c r="K766" s="19">
        <v>6</v>
      </c>
      <c r="L766" s="20">
        <v>100</v>
      </c>
      <c r="M766" s="6" t="s">
        <v>17</v>
      </c>
      <c r="N766" s="13">
        <v>1008.4</v>
      </c>
      <c r="O766" s="8">
        <v>82</v>
      </c>
      <c r="P766" s="8">
        <v>69</v>
      </c>
      <c r="Q766" s="8">
        <v>74</v>
      </c>
      <c r="R766" s="8">
        <v>82</v>
      </c>
      <c r="S766" s="20">
        <v>4</v>
      </c>
      <c r="T766" s="6" t="s">
        <v>7</v>
      </c>
      <c r="U766" s="20">
        <v>10</v>
      </c>
      <c r="V766" s="43" t="s">
        <v>7</v>
      </c>
    </row>
    <row r="767" spans="1:22" s="53" customFormat="1" x14ac:dyDescent="0.35">
      <c r="A767" s="2">
        <v>43439</v>
      </c>
      <c r="B767" s="3">
        <f t="shared" si="42"/>
        <v>2018</v>
      </c>
      <c r="C767" s="3">
        <f t="shared" si="43"/>
        <v>12</v>
      </c>
      <c r="D767" s="3">
        <f t="shared" si="44"/>
        <v>5</v>
      </c>
      <c r="E767" s="13">
        <v>27.4</v>
      </c>
      <c r="F767" s="13">
        <v>26.6</v>
      </c>
      <c r="G767" s="13">
        <v>26.5</v>
      </c>
      <c r="H767" s="34">
        <v>26.6</v>
      </c>
      <c r="I767" s="13">
        <v>31.2</v>
      </c>
      <c r="J767" s="13">
        <v>24.4</v>
      </c>
      <c r="K767" s="19">
        <v>30</v>
      </c>
      <c r="L767" s="20">
        <v>45</v>
      </c>
      <c r="M767" s="6" t="s">
        <v>17</v>
      </c>
      <c r="N767" s="13">
        <v>1007.8</v>
      </c>
      <c r="O767" s="8">
        <v>86</v>
      </c>
      <c r="P767" s="8">
        <v>90</v>
      </c>
      <c r="Q767" s="8">
        <v>96</v>
      </c>
      <c r="R767" s="8">
        <v>90</v>
      </c>
      <c r="S767" s="20">
        <v>3</v>
      </c>
      <c r="T767" s="6" t="s">
        <v>19</v>
      </c>
      <c r="U767" s="20">
        <v>14</v>
      </c>
      <c r="V767" s="43" t="s">
        <v>2</v>
      </c>
    </row>
    <row r="768" spans="1:22" s="53" customFormat="1" x14ac:dyDescent="0.35">
      <c r="A768" s="2">
        <v>43440</v>
      </c>
      <c r="B768" s="3">
        <f t="shared" si="42"/>
        <v>2018</v>
      </c>
      <c r="C768" s="3">
        <f t="shared" si="43"/>
        <v>12</v>
      </c>
      <c r="D768" s="3">
        <f t="shared" si="44"/>
        <v>6</v>
      </c>
      <c r="E768" s="13">
        <v>26.6</v>
      </c>
      <c r="F768" s="13">
        <v>31</v>
      </c>
      <c r="G768" s="13">
        <v>29.2</v>
      </c>
      <c r="H768" s="34">
        <v>28.4</v>
      </c>
      <c r="I768" s="13">
        <v>31.6</v>
      </c>
      <c r="J768" s="13">
        <v>25.2</v>
      </c>
      <c r="K768" s="19">
        <v>6</v>
      </c>
      <c r="L768" s="20">
        <v>100</v>
      </c>
      <c r="M768" s="6"/>
      <c r="N768" s="13">
        <v>1007.4</v>
      </c>
      <c r="O768" s="8">
        <v>84</v>
      </c>
      <c r="P768" s="8">
        <v>68</v>
      </c>
      <c r="Q768" s="8">
        <v>73</v>
      </c>
      <c r="R768" s="8">
        <v>81</v>
      </c>
      <c r="S768" s="20">
        <v>2</v>
      </c>
      <c r="T768" s="6" t="s">
        <v>19</v>
      </c>
      <c r="U768" s="20">
        <v>9</v>
      </c>
      <c r="V768" s="43" t="s">
        <v>2</v>
      </c>
    </row>
    <row r="769" spans="1:22" s="53" customFormat="1" x14ac:dyDescent="0.35">
      <c r="A769" s="2">
        <v>43441</v>
      </c>
      <c r="B769" s="3">
        <f t="shared" si="42"/>
        <v>2018</v>
      </c>
      <c r="C769" s="3">
        <f t="shared" si="43"/>
        <v>12</v>
      </c>
      <c r="D769" s="3">
        <f t="shared" si="44"/>
        <v>7</v>
      </c>
      <c r="E769" s="13">
        <v>27.6</v>
      </c>
      <c r="F769" s="13">
        <v>32</v>
      </c>
      <c r="G769" s="13">
        <v>29.5</v>
      </c>
      <c r="H769" s="34">
        <v>29.4</v>
      </c>
      <c r="I769" s="13">
        <v>32.6</v>
      </c>
      <c r="J769" s="13">
        <v>26.8</v>
      </c>
      <c r="K769" s="15" t="s">
        <v>9</v>
      </c>
      <c r="L769" s="20">
        <v>100</v>
      </c>
      <c r="M769" s="6" t="s">
        <v>18</v>
      </c>
      <c r="N769" s="13">
        <v>1007.3</v>
      </c>
      <c r="O769" s="8">
        <v>80</v>
      </c>
      <c r="P769" s="8">
        <v>64</v>
      </c>
      <c r="Q769" s="8">
        <v>75</v>
      </c>
      <c r="R769" s="8">
        <v>77</v>
      </c>
      <c r="S769" s="20">
        <v>3</v>
      </c>
      <c r="T769" s="6" t="s">
        <v>19</v>
      </c>
      <c r="U769" s="20">
        <v>9</v>
      </c>
      <c r="V769" s="43" t="s">
        <v>2</v>
      </c>
    </row>
    <row r="770" spans="1:22" s="53" customFormat="1" x14ac:dyDescent="0.35">
      <c r="A770" s="2">
        <v>43442</v>
      </c>
      <c r="B770" s="3">
        <f t="shared" si="42"/>
        <v>2018</v>
      </c>
      <c r="C770" s="3">
        <f t="shared" si="43"/>
        <v>12</v>
      </c>
      <c r="D770" s="3">
        <f t="shared" si="44"/>
        <v>8</v>
      </c>
      <c r="E770" s="13">
        <v>27.8</v>
      </c>
      <c r="F770" s="13">
        <v>31.4</v>
      </c>
      <c r="G770" s="13">
        <v>28.4</v>
      </c>
      <c r="H770" s="34">
        <v>28.6</v>
      </c>
      <c r="I770" s="13">
        <v>33</v>
      </c>
      <c r="J770" s="13">
        <v>25.4</v>
      </c>
      <c r="K770" s="15" t="s">
        <v>9</v>
      </c>
      <c r="L770" s="20">
        <v>50</v>
      </c>
      <c r="M770" s="6" t="s">
        <v>20</v>
      </c>
      <c r="N770" s="13">
        <v>1008</v>
      </c>
      <c r="O770" s="8">
        <v>85</v>
      </c>
      <c r="P770" s="8">
        <v>74</v>
      </c>
      <c r="Q770" s="8">
        <v>75</v>
      </c>
      <c r="R770" s="8">
        <v>80</v>
      </c>
      <c r="S770" s="20">
        <v>3</v>
      </c>
      <c r="T770" s="6" t="s">
        <v>19</v>
      </c>
      <c r="U770" s="20">
        <v>8</v>
      </c>
      <c r="V770" s="43" t="s">
        <v>2</v>
      </c>
    </row>
    <row r="771" spans="1:22" s="53" customFormat="1" x14ac:dyDescent="0.35">
      <c r="A771" s="2">
        <v>43443</v>
      </c>
      <c r="B771" s="3">
        <f t="shared" si="42"/>
        <v>2018</v>
      </c>
      <c r="C771" s="3">
        <f t="shared" si="43"/>
        <v>12</v>
      </c>
      <c r="D771" s="3">
        <f t="shared" si="44"/>
        <v>9</v>
      </c>
      <c r="E771" s="13">
        <v>27</v>
      </c>
      <c r="F771" s="13">
        <v>31.6</v>
      </c>
      <c r="G771" s="13">
        <v>29.6</v>
      </c>
      <c r="H771" s="34">
        <v>29</v>
      </c>
      <c r="I771" s="13">
        <v>32.200000000000003</v>
      </c>
      <c r="J771" s="13">
        <v>24</v>
      </c>
      <c r="K771" s="15" t="s">
        <v>9</v>
      </c>
      <c r="L771" s="20">
        <v>84</v>
      </c>
      <c r="M771" s="6" t="s">
        <v>17</v>
      </c>
      <c r="N771" s="13">
        <v>1008.8</v>
      </c>
      <c r="O771" s="8">
        <v>81</v>
      </c>
      <c r="P771" s="8">
        <v>65</v>
      </c>
      <c r="Q771" s="8">
        <v>73</v>
      </c>
      <c r="R771" s="8">
        <v>77</v>
      </c>
      <c r="S771" s="20">
        <v>3</v>
      </c>
      <c r="T771" s="6" t="s">
        <v>19</v>
      </c>
      <c r="U771" s="20">
        <v>9</v>
      </c>
      <c r="V771" s="43" t="s">
        <v>2</v>
      </c>
    </row>
    <row r="772" spans="1:22" s="53" customFormat="1" x14ac:dyDescent="0.35">
      <c r="A772" s="2">
        <v>43444</v>
      </c>
      <c r="B772" s="3">
        <f t="shared" si="42"/>
        <v>2018</v>
      </c>
      <c r="C772" s="3">
        <f t="shared" si="43"/>
        <v>12</v>
      </c>
      <c r="D772" s="3">
        <f t="shared" si="44"/>
        <v>10</v>
      </c>
      <c r="E772" s="13">
        <v>26.3</v>
      </c>
      <c r="F772" s="13">
        <v>31.4</v>
      </c>
      <c r="G772" s="13">
        <v>28.6</v>
      </c>
      <c r="H772" s="34">
        <v>28</v>
      </c>
      <c r="I772" s="13">
        <v>31.6</v>
      </c>
      <c r="J772" s="13">
        <v>25.4</v>
      </c>
      <c r="K772" s="19">
        <v>18.8</v>
      </c>
      <c r="L772" s="22">
        <v>43</v>
      </c>
      <c r="M772" s="6" t="s">
        <v>18</v>
      </c>
      <c r="N772" s="13">
        <v>1007.4</v>
      </c>
      <c r="O772" s="8">
        <v>95</v>
      </c>
      <c r="P772" s="8">
        <v>71</v>
      </c>
      <c r="Q772" s="8">
        <v>88</v>
      </c>
      <c r="R772" s="8">
        <v>84</v>
      </c>
      <c r="S772" s="20">
        <v>2</v>
      </c>
      <c r="T772" s="6" t="s">
        <v>19</v>
      </c>
      <c r="U772" s="20">
        <v>5</v>
      </c>
      <c r="V772" s="43" t="s">
        <v>7</v>
      </c>
    </row>
    <row r="773" spans="1:22" s="53" customFormat="1" x14ac:dyDescent="0.35">
      <c r="A773" s="2">
        <v>43445</v>
      </c>
      <c r="B773" s="3">
        <f t="shared" si="42"/>
        <v>2018</v>
      </c>
      <c r="C773" s="3">
        <f t="shared" si="43"/>
        <v>12</v>
      </c>
      <c r="D773" s="3">
        <f t="shared" si="44"/>
        <v>11</v>
      </c>
      <c r="E773" s="13">
        <v>26.6</v>
      </c>
      <c r="F773" s="13">
        <v>31.8</v>
      </c>
      <c r="G773" s="13">
        <v>24.5</v>
      </c>
      <c r="H773" s="34">
        <v>28</v>
      </c>
      <c r="I773" s="13">
        <v>32.6</v>
      </c>
      <c r="J773" s="13">
        <v>24.2</v>
      </c>
      <c r="K773" s="15" t="s">
        <v>9</v>
      </c>
      <c r="L773" s="20">
        <v>51</v>
      </c>
      <c r="M773" s="6" t="s">
        <v>17</v>
      </c>
      <c r="N773" s="13">
        <v>1008.4</v>
      </c>
      <c r="O773" s="8">
        <v>89</v>
      </c>
      <c r="P773" s="8">
        <v>68</v>
      </c>
      <c r="Q773" s="8">
        <v>96</v>
      </c>
      <c r="R773" s="8">
        <v>84</v>
      </c>
      <c r="S773" s="20">
        <v>3</v>
      </c>
      <c r="T773" s="6" t="s">
        <v>19</v>
      </c>
      <c r="U773" s="20">
        <v>10</v>
      </c>
      <c r="V773" s="43" t="s">
        <v>3</v>
      </c>
    </row>
    <row r="774" spans="1:22" s="53" customFormat="1" x14ac:dyDescent="0.35">
      <c r="A774" s="2">
        <v>43446</v>
      </c>
      <c r="B774" s="3">
        <f t="shared" si="42"/>
        <v>2018</v>
      </c>
      <c r="C774" s="3">
        <f t="shared" si="43"/>
        <v>12</v>
      </c>
      <c r="D774" s="3">
        <f t="shared" si="44"/>
        <v>12</v>
      </c>
      <c r="E774" s="13">
        <v>27.4</v>
      </c>
      <c r="F774" s="13">
        <v>31.8</v>
      </c>
      <c r="G774" s="13">
        <v>29.4</v>
      </c>
      <c r="H774" s="34">
        <v>28.2</v>
      </c>
      <c r="I774" s="13">
        <v>32</v>
      </c>
      <c r="J774" s="13">
        <v>25</v>
      </c>
      <c r="K774" s="19">
        <v>16.399999999999999</v>
      </c>
      <c r="L774" s="22">
        <v>81</v>
      </c>
      <c r="M774" s="6" t="s">
        <v>17</v>
      </c>
      <c r="N774" s="13">
        <v>1008.3</v>
      </c>
      <c r="O774" s="8">
        <v>86</v>
      </c>
      <c r="P774" s="8">
        <v>67</v>
      </c>
      <c r="Q774" s="8">
        <v>78</v>
      </c>
      <c r="R774" s="8">
        <v>82</v>
      </c>
      <c r="S774" s="20">
        <v>4</v>
      </c>
      <c r="T774" s="6" t="s">
        <v>19</v>
      </c>
      <c r="U774" s="20">
        <v>8</v>
      </c>
      <c r="V774" s="43" t="s">
        <v>3</v>
      </c>
    </row>
    <row r="775" spans="1:22" s="53" customFormat="1" x14ac:dyDescent="0.35">
      <c r="A775" s="2">
        <v>43447</v>
      </c>
      <c r="B775" s="3">
        <f t="shared" si="42"/>
        <v>2018</v>
      </c>
      <c r="C775" s="3">
        <f t="shared" si="43"/>
        <v>12</v>
      </c>
      <c r="D775" s="3">
        <f t="shared" si="44"/>
        <v>13</v>
      </c>
      <c r="E775" s="13">
        <v>25.6</v>
      </c>
      <c r="F775" s="13">
        <v>28.4</v>
      </c>
      <c r="G775" s="13">
        <v>27.2</v>
      </c>
      <c r="H775" s="34">
        <v>27</v>
      </c>
      <c r="I775" s="13">
        <v>30</v>
      </c>
      <c r="J775" s="13">
        <v>25.4</v>
      </c>
      <c r="K775" s="19">
        <v>2.2000000000000002</v>
      </c>
      <c r="L775" s="20">
        <v>0</v>
      </c>
      <c r="M775" s="6" t="s">
        <v>11</v>
      </c>
      <c r="N775" s="13">
        <v>1008.1</v>
      </c>
      <c r="O775" s="8">
        <v>89</v>
      </c>
      <c r="P775" s="8">
        <v>81</v>
      </c>
      <c r="Q775" s="8">
        <v>89</v>
      </c>
      <c r="R775" s="8">
        <v>89</v>
      </c>
      <c r="S775" s="20">
        <v>2</v>
      </c>
      <c r="T775" s="6" t="s">
        <v>19</v>
      </c>
      <c r="U775" s="20">
        <v>5</v>
      </c>
      <c r="V775" s="43" t="s">
        <v>2</v>
      </c>
    </row>
    <row r="776" spans="1:22" s="53" customFormat="1" x14ac:dyDescent="0.35">
      <c r="A776" s="2">
        <v>43448</v>
      </c>
      <c r="B776" s="3">
        <f t="shared" si="42"/>
        <v>2018</v>
      </c>
      <c r="C776" s="3">
        <f t="shared" si="43"/>
        <v>12</v>
      </c>
      <c r="D776" s="3">
        <f t="shared" si="44"/>
        <v>14</v>
      </c>
      <c r="E776" s="13">
        <v>25.9</v>
      </c>
      <c r="F776" s="13">
        <v>30.9</v>
      </c>
      <c r="G776" s="13">
        <v>27</v>
      </c>
      <c r="H776" s="34">
        <v>27</v>
      </c>
      <c r="I776" s="13">
        <v>31.2</v>
      </c>
      <c r="J776" s="13">
        <v>24.2</v>
      </c>
      <c r="K776" s="19">
        <v>1.2</v>
      </c>
      <c r="L776" s="20">
        <v>26</v>
      </c>
      <c r="M776" s="6" t="s">
        <v>18</v>
      </c>
      <c r="N776" s="13">
        <v>1008.6</v>
      </c>
      <c r="O776" s="8">
        <v>93</v>
      </c>
      <c r="P776" s="8">
        <v>71</v>
      </c>
      <c r="Q776" s="8">
        <v>88</v>
      </c>
      <c r="R776" s="8">
        <v>84</v>
      </c>
      <c r="S776" s="20">
        <v>3</v>
      </c>
      <c r="T776" s="6" t="s">
        <v>19</v>
      </c>
      <c r="U776" s="20">
        <v>10</v>
      </c>
      <c r="V776" s="43" t="s">
        <v>7</v>
      </c>
    </row>
    <row r="777" spans="1:22" s="53" customFormat="1" x14ac:dyDescent="0.35">
      <c r="A777" s="2">
        <v>43449</v>
      </c>
      <c r="B777" s="3">
        <f t="shared" si="42"/>
        <v>2018</v>
      </c>
      <c r="C777" s="3">
        <f t="shared" si="43"/>
        <v>12</v>
      </c>
      <c r="D777" s="3">
        <f t="shared" si="44"/>
        <v>15</v>
      </c>
      <c r="E777" s="13">
        <v>27.2</v>
      </c>
      <c r="F777" s="13">
        <v>31.8</v>
      </c>
      <c r="G777" s="13">
        <v>29.2</v>
      </c>
      <c r="H777" s="34">
        <v>27.6</v>
      </c>
      <c r="I777" s="13">
        <v>32.6</v>
      </c>
      <c r="J777" s="13">
        <v>23.2</v>
      </c>
      <c r="K777" s="92" t="s">
        <v>9</v>
      </c>
      <c r="L777" s="20">
        <v>90</v>
      </c>
      <c r="M777" s="6" t="s">
        <v>17</v>
      </c>
      <c r="N777" s="13">
        <v>1009.1</v>
      </c>
      <c r="O777" s="8">
        <v>79</v>
      </c>
      <c r="P777" s="8">
        <v>64</v>
      </c>
      <c r="Q777" s="8">
        <v>80</v>
      </c>
      <c r="R777" s="8">
        <v>82</v>
      </c>
      <c r="S777" s="20">
        <v>5</v>
      </c>
      <c r="T777" s="6" t="s">
        <v>19</v>
      </c>
      <c r="U777" s="20">
        <v>15</v>
      </c>
      <c r="V777" s="43" t="s">
        <v>6</v>
      </c>
    </row>
    <row r="778" spans="1:22" s="53" customFormat="1" x14ac:dyDescent="0.35">
      <c r="A778" s="2">
        <v>43450</v>
      </c>
      <c r="B778" s="3">
        <f t="shared" si="42"/>
        <v>2018</v>
      </c>
      <c r="C778" s="3">
        <f t="shared" si="43"/>
        <v>12</v>
      </c>
      <c r="D778" s="3">
        <f t="shared" si="44"/>
        <v>16</v>
      </c>
      <c r="E778" s="13">
        <v>25.9</v>
      </c>
      <c r="F778" s="13">
        <v>31.7</v>
      </c>
      <c r="G778" s="13">
        <v>29.2</v>
      </c>
      <c r="H778" s="34">
        <v>28.3</v>
      </c>
      <c r="I778" s="13">
        <v>32</v>
      </c>
      <c r="J778" s="13">
        <v>25.2</v>
      </c>
      <c r="K778" s="19">
        <v>5.2</v>
      </c>
      <c r="L778" s="20">
        <v>9</v>
      </c>
      <c r="M778" s="6" t="s">
        <v>11</v>
      </c>
      <c r="N778" s="13">
        <v>1010.6</v>
      </c>
      <c r="O778" s="8">
        <v>93</v>
      </c>
      <c r="P778" s="8">
        <v>65</v>
      </c>
      <c r="Q778" s="8">
        <v>82</v>
      </c>
      <c r="R778" s="8">
        <v>79</v>
      </c>
      <c r="S778" s="20">
        <v>2</v>
      </c>
      <c r="T778" s="6" t="s">
        <v>19</v>
      </c>
      <c r="U778" s="20">
        <v>7</v>
      </c>
      <c r="V778" s="43" t="s">
        <v>4</v>
      </c>
    </row>
    <row r="779" spans="1:22" s="53" customFormat="1" x14ac:dyDescent="0.35">
      <c r="A779" s="2">
        <v>43451</v>
      </c>
      <c r="B779" s="3">
        <f t="shared" si="42"/>
        <v>2018</v>
      </c>
      <c r="C779" s="3">
        <f t="shared" si="43"/>
        <v>12</v>
      </c>
      <c r="D779" s="3">
        <f t="shared" si="44"/>
        <v>17</v>
      </c>
      <c r="E779" s="13">
        <v>27</v>
      </c>
      <c r="F779" s="13">
        <v>33</v>
      </c>
      <c r="G779" s="13">
        <v>29.8</v>
      </c>
      <c r="H779" s="34">
        <v>29</v>
      </c>
      <c r="I779" s="13">
        <v>33.6</v>
      </c>
      <c r="J779" s="13">
        <v>25.4</v>
      </c>
      <c r="K779" s="19">
        <v>0</v>
      </c>
      <c r="L779" s="20">
        <v>93</v>
      </c>
      <c r="M779" s="6" t="s">
        <v>18</v>
      </c>
      <c r="N779" s="13">
        <v>1010.5</v>
      </c>
      <c r="O779" s="8">
        <v>83</v>
      </c>
      <c r="P779" s="8">
        <v>55</v>
      </c>
      <c r="Q779" s="8">
        <v>77</v>
      </c>
      <c r="R779" s="8">
        <v>72</v>
      </c>
      <c r="S779" s="20">
        <v>4</v>
      </c>
      <c r="T779" s="6" t="s">
        <v>7</v>
      </c>
      <c r="U779" s="20">
        <v>12</v>
      </c>
      <c r="V779" s="12" t="s">
        <v>4</v>
      </c>
    </row>
    <row r="780" spans="1:22" s="53" customFormat="1" x14ac:dyDescent="0.35">
      <c r="A780" s="2">
        <v>43452</v>
      </c>
      <c r="B780" s="3">
        <f t="shared" si="42"/>
        <v>2018</v>
      </c>
      <c r="C780" s="3">
        <f t="shared" si="43"/>
        <v>12</v>
      </c>
      <c r="D780" s="3">
        <f t="shared" si="44"/>
        <v>18</v>
      </c>
      <c r="E780" s="13">
        <v>26.8</v>
      </c>
      <c r="F780" s="13">
        <v>32.6</v>
      </c>
      <c r="G780" s="13">
        <v>29.6</v>
      </c>
      <c r="H780" s="34">
        <v>28.8</v>
      </c>
      <c r="I780" s="13">
        <v>33.200000000000003</v>
      </c>
      <c r="J780" s="13">
        <v>25.2</v>
      </c>
      <c r="K780" s="15" t="s">
        <v>9</v>
      </c>
      <c r="L780" s="20">
        <v>91</v>
      </c>
      <c r="M780" s="6" t="s">
        <v>11</v>
      </c>
      <c r="N780" s="13">
        <v>1010.1</v>
      </c>
      <c r="O780" s="8">
        <v>80</v>
      </c>
      <c r="P780" s="8">
        <v>58</v>
      </c>
      <c r="Q780" s="8">
        <v>70</v>
      </c>
      <c r="R780" s="8">
        <v>73</v>
      </c>
      <c r="S780" s="20">
        <v>4</v>
      </c>
      <c r="T780" s="6" t="s">
        <v>6</v>
      </c>
      <c r="U780" s="20">
        <v>8</v>
      </c>
      <c r="V780" s="43" t="s">
        <v>4</v>
      </c>
    </row>
    <row r="781" spans="1:22" s="53" customFormat="1" x14ac:dyDescent="0.35">
      <c r="A781" s="2">
        <v>43453</v>
      </c>
      <c r="B781" s="3">
        <f t="shared" si="42"/>
        <v>2018</v>
      </c>
      <c r="C781" s="3">
        <f t="shared" si="43"/>
        <v>12</v>
      </c>
      <c r="D781" s="3">
        <f t="shared" si="44"/>
        <v>19</v>
      </c>
      <c r="E781" s="13">
        <v>26.7</v>
      </c>
      <c r="F781" s="13">
        <v>31.1</v>
      </c>
      <c r="G781" s="13">
        <v>29.6</v>
      </c>
      <c r="H781" s="34">
        <v>28.4</v>
      </c>
      <c r="I781" s="13">
        <v>32.4</v>
      </c>
      <c r="J781" s="13">
        <v>25.4</v>
      </c>
      <c r="K781" s="19">
        <v>1.4</v>
      </c>
      <c r="L781" s="20">
        <v>100</v>
      </c>
      <c r="M781" s="6" t="s">
        <v>20</v>
      </c>
      <c r="N781" s="13">
        <v>1010.3</v>
      </c>
      <c r="O781" s="8">
        <v>78</v>
      </c>
      <c r="P781" s="8">
        <v>58</v>
      </c>
      <c r="Q781" s="8">
        <v>69</v>
      </c>
      <c r="R781" s="8">
        <v>75</v>
      </c>
      <c r="S781" s="20">
        <v>4</v>
      </c>
      <c r="T781" s="6" t="s">
        <v>19</v>
      </c>
      <c r="U781" s="20">
        <v>8</v>
      </c>
      <c r="V781" s="43" t="s">
        <v>2</v>
      </c>
    </row>
    <row r="782" spans="1:22" s="53" customFormat="1" x14ac:dyDescent="0.35">
      <c r="A782" s="2">
        <v>43454</v>
      </c>
      <c r="B782" s="3">
        <f t="shared" si="42"/>
        <v>2018</v>
      </c>
      <c r="C782" s="3">
        <f t="shared" si="43"/>
        <v>12</v>
      </c>
      <c r="D782" s="3">
        <f t="shared" si="44"/>
        <v>20</v>
      </c>
      <c r="E782" s="13">
        <v>26.8</v>
      </c>
      <c r="F782" s="13">
        <v>30.4</v>
      </c>
      <c r="G782" s="13">
        <v>27.2</v>
      </c>
      <c r="H782" s="34">
        <v>27.5</v>
      </c>
      <c r="I782" s="13">
        <v>31.4</v>
      </c>
      <c r="J782" s="13">
        <v>25.2</v>
      </c>
      <c r="K782" s="15" t="s">
        <v>9</v>
      </c>
      <c r="L782" s="20">
        <v>48</v>
      </c>
      <c r="M782" s="6" t="s">
        <v>18</v>
      </c>
      <c r="N782" s="13">
        <v>1010.2</v>
      </c>
      <c r="O782" s="8">
        <v>84</v>
      </c>
      <c r="P782" s="8">
        <v>68</v>
      </c>
      <c r="Q782" s="8">
        <v>84</v>
      </c>
      <c r="R782" s="8">
        <v>83</v>
      </c>
      <c r="S782" s="20">
        <v>3</v>
      </c>
      <c r="T782" s="6" t="s">
        <v>19</v>
      </c>
      <c r="U782" s="20">
        <v>11</v>
      </c>
      <c r="V782" s="12" t="s">
        <v>1</v>
      </c>
    </row>
    <row r="783" spans="1:22" s="53" customFormat="1" x14ac:dyDescent="0.35">
      <c r="A783" s="2">
        <v>43455</v>
      </c>
      <c r="B783" s="3">
        <f t="shared" si="42"/>
        <v>2018</v>
      </c>
      <c r="C783" s="3">
        <f t="shared" si="43"/>
        <v>12</v>
      </c>
      <c r="D783" s="3">
        <f t="shared" si="44"/>
        <v>21</v>
      </c>
      <c r="E783" s="13">
        <v>25.7</v>
      </c>
      <c r="F783" s="13">
        <v>29.8</v>
      </c>
      <c r="G783" s="13">
        <v>28.4</v>
      </c>
      <c r="H783" s="34">
        <v>28.1</v>
      </c>
      <c r="I783" s="13">
        <v>30.8</v>
      </c>
      <c r="J783" s="13">
        <v>25.6</v>
      </c>
      <c r="K783" s="15" t="s">
        <v>9</v>
      </c>
      <c r="L783" s="20">
        <v>8</v>
      </c>
      <c r="M783" s="6"/>
      <c r="N783" s="13">
        <v>1009.1</v>
      </c>
      <c r="O783" s="8">
        <v>89</v>
      </c>
      <c r="P783" s="8">
        <v>70</v>
      </c>
      <c r="Q783" s="8">
        <v>74</v>
      </c>
      <c r="R783" s="8">
        <v>79</v>
      </c>
      <c r="S783" s="20">
        <v>3</v>
      </c>
      <c r="T783" s="6" t="s">
        <v>5</v>
      </c>
      <c r="U783" s="20">
        <v>7</v>
      </c>
      <c r="V783" s="12" t="s">
        <v>5</v>
      </c>
    </row>
    <row r="784" spans="1:22" s="53" customFormat="1" x14ac:dyDescent="0.35">
      <c r="A784" s="2">
        <v>43456</v>
      </c>
      <c r="B784" s="3">
        <f t="shared" si="42"/>
        <v>2018</v>
      </c>
      <c r="C784" s="3">
        <f t="shared" si="43"/>
        <v>12</v>
      </c>
      <c r="D784" s="3">
        <f t="shared" si="44"/>
        <v>22</v>
      </c>
      <c r="E784" s="13">
        <v>27</v>
      </c>
      <c r="F784" s="13">
        <v>31.2</v>
      </c>
      <c r="G784" s="13">
        <v>28.8</v>
      </c>
      <c r="H784" s="34">
        <v>28.3</v>
      </c>
      <c r="I784" s="13">
        <v>32.799999999999997</v>
      </c>
      <c r="J784" s="13">
        <v>25.6</v>
      </c>
      <c r="K784" s="15" t="s">
        <v>9</v>
      </c>
      <c r="L784" s="20">
        <v>56</v>
      </c>
      <c r="M784" s="6" t="s">
        <v>11</v>
      </c>
      <c r="N784" s="13">
        <v>1008.8</v>
      </c>
      <c r="O784" s="8">
        <v>81</v>
      </c>
      <c r="P784" s="8">
        <v>67</v>
      </c>
      <c r="Q784" s="8">
        <v>78</v>
      </c>
      <c r="R784" s="8">
        <v>77</v>
      </c>
      <c r="S784" s="20">
        <v>6</v>
      </c>
      <c r="T784" s="6" t="s">
        <v>1</v>
      </c>
      <c r="U784" s="20">
        <v>15</v>
      </c>
      <c r="V784" s="43" t="s">
        <v>5</v>
      </c>
    </row>
    <row r="785" spans="1:22" s="53" customFormat="1" x14ac:dyDescent="0.35">
      <c r="A785" s="2">
        <v>43457</v>
      </c>
      <c r="B785" s="3">
        <f t="shared" si="42"/>
        <v>2018</v>
      </c>
      <c r="C785" s="3">
        <f t="shared" si="43"/>
        <v>12</v>
      </c>
      <c r="D785" s="3">
        <f t="shared" si="44"/>
        <v>23</v>
      </c>
      <c r="E785" s="13">
        <v>26.6</v>
      </c>
      <c r="F785" s="13">
        <v>31.2</v>
      </c>
      <c r="G785" s="13">
        <v>23.8</v>
      </c>
      <c r="H785" s="34">
        <v>26.5</v>
      </c>
      <c r="I785" s="13">
        <v>32.799999999999997</v>
      </c>
      <c r="J785" s="13">
        <v>23.4</v>
      </c>
      <c r="K785" s="19">
        <v>0</v>
      </c>
      <c r="L785" s="20">
        <v>1</v>
      </c>
      <c r="M785" s="6" t="s">
        <v>17</v>
      </c>
      <c r="N785" s="13">
        <v>1008.6</v>
      </c>
      <c r="O785" s="8">
        <v>83</v>
      </c>
      <c r="P785" s="8">
        <v>61</v>
      </c>
      <c r="Q785" s="8">
        <v>95</v>
      </c>
      <c r="R785" s="8">
        <v>84</v>
      </c>
      <c r="S785" s="20">
        <v>5</v>
      </c>
      <c r="T785" s="6" t="s">
        <v>1</v>
      </c>
      <c r="U785" s="20">
        <v>15</v>
      </c>
      <c r="V785" s="43" t="s">
        <v>4</v>
      </c>
    </row>
    <row r="786" spans="1:22" s="53" customFormat="1" x14ac:dyDescent="0.35">
      <c r="A786" s="2">
        <v>43458</v>
      </c>
      <c r="B786" s="3">
        <f t="shared" si="42"/>
        <v>2018</v>
      </c>
      <c r="C786" s="3">
        <f t="shared" si="43"/>
        <v>12</v>
      </c>
      <c r="D786" s="3">
        <f t="shared" si="44"/>
        <v>24</v>
      </c>
      <c r="E786" s="13">
        <v>25.4</v>
      </c>
      <c r="F786" s="13">
        <v>29.6</v>
      </c>
      <c r="G786" s="13">
        <v>25</v>
      </c>
      <c r="H786" s="34">
        <v>25.9</v>
      </c>
      <c r="I786" s="13">
        <v>31.2</v>
      </c>
      <c r="J786" s="13">
        <v>22.8</v>
      </c>
      <c r="K786" s="19">
        <v>17.3</v>
      </c>
      <c r="L786" s="20">
        <v>19</v>
      </c>
      <c r="M786" s="6" t="s">
        <v>11</v>
      </c>
      <c r="N786" s="13">
        <v>1008.3</v>
      </c>
      <c r="O786" s="8">
        <v>90</v>
      </c>
      <c r="P786" s="8">
        <v>66</v>
      </c>
      <c r="Q786" s="8">
        <v>97</v>
      </c>
      <c r="R786" s="8">
        <v>87</v>
      </c>
      <c r="S786" s="20">
        <v>4</v>
      </c>
      <c r="T786" s="6" t="s">
        <v>4</v>
      </c>
      <c r="U786" s="20">
        <v>10</v>
      </c>
      <c r="V786" s="43" t="s">
        <v>1</v>
      </c>
    </row>
    <row r="787" spans="1:22" s="53" customFormat="1" x14ac:dyDescent="0.35">
      <c r="A787" s="2">
        <v>43459</v>
      </c>
      <c r="B787" s="3">
        <f t="shared" si="42"/>
        <v>2018</v>
      </c>
      <c r="C787" s="3">
        <f t="shared" si="43"/>
        <v>12</v>
      </c>
      <c r="D787" s="3">
        <f t="shared" si="44"/>
        <v>25</v>
      </c>
      <c r="E787" s="13">
        <v>25.4</v>
      </c>
      <c r="F787" s="13">
        <v>29.4</v>
      </c>
      <c r="G787" s="13">
        <v>25</v>
      </c>
      <c r="H787" s="34">
        <v>26.2</v>
      </c>
      <c r="I787" s="13">
        <v>30.6</v>
      </c>
      <c r="J787" s="13">
        <v>24.4</v>
      </c>
      <c r="K787" s="19">
        <v>7.5</v>
      </c>
      <c r="L787" s="20">
        <v>5</v>
      </c>
      <c r="M787" s="6" t="s">
        <v>11</v>
      </c>
      <c r="N787" s="13">
        <v>1007.9</v>
      </c>
      <c r="O787" s="8">
        <v>89</v>
      </c>
      <c r="P787" s="8">
        <v>74</v>
      </c>
      <c r="Q787" s="8">
        <v>95</v>
      </c>
      <c r="R787" s="8">
        <v>88</v>
      </c>
      <c r="S787" s="20">
        <v>2</v>
      </c>
      <c r="T787" s="6" t="s">
        <v>19</v>
      </c>
      <c r="U787" s="20">
        <v>7</v>
      </c>
      <c r="V787" s="43" t="s">
        <v>2</v>
      </c>
    </row>
    <row r="788" spans="1:22" s="53" customFormat="1" x14ac:dyDescent="0.35">
      <c r="A788" s="2">
        <v>43460</v>
      </c>
      <c r="B788" s="3">
        <f t="shared" si="42"/>
        <v>2018</v>
      </c>
      <c r="C788" s="3">
        <f t="shared" si="43"/>
        <v>12</v>
      </c>
      <c r="D788" s="3">
        <f t="shared" si="44"/>
        <v>26</v>
      </c>
      <c r="E788" s="13">
        <v>25.1</v>
      </c>
      <c r="F788" s="13">
        <v>28.8</v>
      </c>
      <c r="G788" s="13">
        <v>27.8</v>
      </c>
      <c r="H788" s="34">
        <v>26.5</v>
      </c>
      <c r="I788" s="13">
        <v>29.6</v>
      </c>
      <c r="J788" s="13">
        <v>24.4</v>
      </c>
      <c r="K788" s="19">
        <v>1.8</v>
      </c>
      <c r="L788" s="20">
        <v>0</v>
      </c>
      <c r="M788" s="6" t="s">
        <v>17</v>
      </c>
      <c r="N788" s="13">
        <v>1009</v>
      </c>
      <c r="O788" s="8">
        <v>92</v>
      </c>
      <c r="P788" s="8">
        <v>75</v>
      </c>
      <c r="Q788" s="8">
        <v>85</v>
      </c>
      <c r="R788" s="8">
        <v>83</v>
      </c>
      <c r="S788" s="20">
        <v>3</v>
      </c>
      <c r="T788" s="6" t="s">
        <v>4</v>
      </c>
      <c r="U788" s="20">
        <v>8</v>
      </c>
      <c r="V788" s="12" t="s">
        <v>5</v>
      </c>
    </row>
    <row r="789" spans="1:22" s="53" customFormat="1" x14ac:dyDescent="0.35">
      <c r="A789" s="2">
        <v>43461</v>
      </c>
      <c r="B789" s="3">
        <f t="shared" si="42"/>
        <v>2018</v>
      </c>
      <c r="C789" s="3">
        <f t="shared" si="43"/>
        <v>12</v>
      </c>
      <c r="D789" s="3">
        <f t="shared" si="44"/>
        <v>27</v>
      </c>
      <c r="E789" s="13">
        <v>26.6</v>
      </c>
      <c r="F789" s="13">
        <v>32</v>
      </c>
      <c r="G789" s="13">
        <v>28.5</v>
      </c>
      <c r="H789" s="34">
        <v>28.2</v>
      </c>
      <c r="I789" s="13">
        <v>32.6</v>
      </c>
      <c r="J789" s="13">
        <v>24.4</v>
      </c>
      <c r="K789" s="19">
        <v>1.2</v>
      </c>
      <c r="L789" s="20">
        <v>100</v>
      </c>
      <c r="M789" s="6" t="s">
        <v>17</v>
      </c>
      <c r="N789" s="13">
        <v>1007.3</v>
      </c>
      <c r="O789" s="8">
        <v>81</v>
      </c>
      <c r="P789" s="8">
        <v>55</v>
      </c>
      <c r="Q789" s="8">
        <v>78</v>
      </c>
      <c r="R789" s="8">
        <v>76</v>
      </c>
      <c r="S789" s="20">
        <v>7</v>
      </c>
      <c r="T789" s="6" t="s">
        <v>4</v>
      </c>
      <c r="U789" s="20">
        <v>14</v>
      </c>
      <c r="V789" s="12" t="s">
        <v>2</v>
      </c>
    </row>
    <row r="790" spans="1:22" s="53" customFormat="1" x14ac:dyDescent="0.35">
      <c r="A790" s="2">
        <v>43462</v>
      </c>
      <c r="B790" s="3">
        <f t="shared" si="42"/>
        <v>2018</v>
      </c>
      <c r="C790" s="3">
        <f t="shared" si="43"/>
        <v>12</v>
      </c>
      <c r="D790" s="3">
        <f t="shared" si="44"/>
        <v>28</v>
      </c>
      <c r="E790" s="13">
        <v>26.2</v>
      </c>
      <c r="F790" s="13">
        <v>31.1</v>
      </c>
      <c r="G790" s="13">
        <v>28.4</v>
      </c>
      <c r="H790" s="34">
        <v>28.3</v>
      </c>
      <c r="I790" s="13">
        <v>31.6</v>
      </c>
      <c r="J790" s="13">
        <v>25.2</v>
      </c>
      <c r="K790" s="17">
        <v>5</v>
      </c>
      <c r="L790" s="20">
        <v>39</v>
      </c>
      <c r="M790" s="6" t="s">
        <v>13</v>
      </c>
      <c r="N790" s="13">
        <v>1006.7</v>
      </c>
      <c r="O790" s="8">
        <v>72</v>
      </c>
      <c r="P790" s="8">
        <v>60</v>
      </c>
      <c r="Q790" s="8">
        <v>76</v>
      </c>
      <c r="R790" s="8">
        <v>69</v>
      </c>
      <c r="S790" s="20">
        <v>6</v>
      </c>
      <c r="T790" s="6" t="s">
        <v>4</v>
      </c>
      <c r="U790" s="20">
        <v>10</v>
      </c>
      <c r="V790" s="12" t="s">
        <v>1</v>
      </c>
    </row>
    <row r="791" spans="1:22" s="53" customFormat="1" x14ac:dyDescent="0.35">
      <c r="A791" s="2">
        <v>43463</v>
      </c>
      <c r="B791" s="3">
        <f t="shared" si="42"/>
        <v>2018</v>
      </c>
      <c r="C791" s="3">
        <f t="shared" si="43"/>
        <v>12</v>
      </c>
      <c r="D791" s="3">
        <f t="shared" si="44"/>
        <v>29</v>
      </c>
      <c r="E791" s="13">
        <v>27</v>
      </c>
      <c r="F791" s="13">
        <v>32</v>
      </c>
      <c r="G791" s="13">
        <v>29.2</v>
      </c>
      <c r="H791" s="34">
        <v>28.8</v>
      </c>
      <c r="I791" s="13">
        <v>32.799999999999997</v>
      </c>
      <c r="J791" s="13">
        <v>26</v>
      </c>
      <c r="K791" s="15" t="s">
        <v>9</v>
      </c>
      <c r="L791" s="20">
        <v>66</v>
      </c>
      <c r="M791" s="6" t="s">
        <v>11</v>
      </c>
      <c r="N791" s="13">
        <v>1007.4</v>
      </c>
      <c r="O791" s="8">
        <v>73</v>
      </c>
      <c r="P791" s="8">
        <v>61</v>
      </c>
      <c r="Q791" s="8">
        <v>78</v>
      </c>
      <c r="R791" s="8">
        <v>73</v>
      </c>
      <c r="S791" s="20">
        <v>7</v>
      </c>
      <c r="T791" s="6" t="s">
        <v>4</v>
      </c>
      <c r="U791" s="20">
        <v>13</v>
      </c>
      <c r="V791" s="12" t="s">
        <v>1</v>
      </c>
    </row>
    <row r="792" spans="1:22" s="53" customFormat="1" x14ac:dyDescent="0.35">
      <c r="A792" s="2">
        <v>43464</v>
      </c>
      <c r="B792" s="3">
        <f t="shared" si="42"/>
        <v>2018</v>
      </c>
      <c r="C792" s="3">
        <f t="shared" si="43"/>
        <v>12</v>
      </c>
      <c r="D792" s="3">
        <f t="shared" si="44"/>
        <v>30</v>
      </c>
      <c r="E792" s="13">
        <v>27.2</v>
      </c>
      <c r="F792" s="13">
        <v>31.3</v>
      </c>
      <c r="G792" s="13">
        <v>26</v>
      </c>
      <c r="H792" s="34">
        <v>27.4</v>
      </c>
      <c r="I792" s="13">
        <v>32.4</v>
      </c>
      <c r="J792" s="13">
        <v>25</v>
      </c>
      <c r="K792" s="19">
        <v>0</v>
      </c>
      <c r="L792" s="20">
        <v>51</v>
      </c>
      <c r="M792" s="6" t="s">
        <v>17</v>
      </c>
      <c r="N792" s="13">
        <v>1007.5</v>
      </c>
      <c r="O792" s="8">
        <v>77</v>
      </c>
      <c r="P792" s="8">
        <v>63</v>
      </c>
      <c r="Q792" s="8">
        <v>92</v>
      </c>
      <c r="R792" s="8">
        <v>82</v>
      </c>
      <c r="S792" s="20">
        <v>4</v>
      </c>
      <c r="T792" s="6" t="s">
        <v>1</v>
      </c>
      <c r="U792" s="20">
        <v>13</v>
      </c>
      <c r="V792" s="12" t="s">
        <v>1</v>
      </c>
    </row>
    <row r="793" spans="1:22" s="53" customFormat="1" x14ac:dyDescent="0.35">
      <c r="A793" s="2">
        <v>43465</v>
      </c>
      <c r="B793" s="3">
        <f t="shared" si="42"/>
        <v>2018</v>
      </c>
      <c r="C793" s="3">
        <f t="shared" si="43"/>
        <v>12</v>
      </c>
      <c r="D793" s="3">
        <f t="shared" si="44"/>
        <v>31</v>
      </c>
      <c r="E793" s="13">
        <v>26.4</v>
      </c>
      <c r="F793" s="13">
        <v>29.8</v>
      </c>
      <c r="G793" s="13">
        <v>29.1</v>
      </c>
      <c r="H793" s="34">
        <v>27.9</v>
      </c>
      <c r="I793" s="13">
        <v>31</v>
      </c>
      <c r="J793" s="13">
        <v>24.8</v>
      </c>
      <c r="K793" s="19">
        <v>4.2</v>
      </c>
      <c r="L793" s="20">
        <v>36</v>
      </c>
      <c r="M793" s="6"/>
      <c r="N793" s="13">
        <v>1007.9</v>
      </c>
      <c r="O793" s="8">
        <v>82</v>
      </c>
      <c r="P793" s="8">
        <v>73</v>
      </c>
      <c r="Q793" s="8">
        <v>75</v>
      </c>
      <c r="R793" s="8">
        <v>79</v>
      </c>
      <c r="S793" s="20">
        <v>7</v>
      </c>
      <c r="T793" s="6" t="s">
        <v>1</v>
      </c>
      <c r="U793" s="20">
        <v>15</v>
      </c>
      <c r="V793" s="12" t="s">
        <v>1</v>
      </c>
    </row>
    <row r="794" spans="1:22" s="53" customFormat="1" x14ac:dyDescent="0.35">
      <c r="A794" s="2"/>
      <c r="B794" s="3"/>
      <c r="C794" s="3"/>
      <c r="D794" s="3"/>
      <c r="E794" s="59"/>
      <c r="F794" s="59"/>
      <c r="G794" s="59"/>
      <c r="H794" s="34"/>
      <c r="I794" s="60"/>
      <c r="J794" s="60"/>
      <c r="K794" s="60"/>
      <c r="L794" s="61"/>
      <c r="M794" s="6"/>
      <c r="N794" s="13"/>
      <c r="O794" s="8"/>
      <c r="P794" s="8"/>
      <c r="Q794" s="8"/>
      <c r="R794" s="8"/>
      <c r="S794" s="20"/>
      <c r="T794" s="6"/>
      <c r="U794" s="20"/>
      <c r="V794" s="22"/>
    </row>
    <row r="795" spans="1:22" s="53" customFormat="1" x14ac:dyDescent="0.35">
      <c r="A795" s="2"/>
      <c r="B795" s="3"/>
      <c r="C795" s="3"/>
      <c r="D795" s="3"/>
      <c r="E795" s="59"/>
      <c r="F795" s="59"/>
      <c r="G795" s="59"/>
      <c r="H795" s="34"/>
      <c r="I795" s="60"/>
      <c r="J795" s="60"/>
      <c r="K795" s="61"/>
      <c r="L795" s="61"/>
      <c r="M795" s="6"/>
      <c r="N795" s="13"/>
      <c r="O795" s="8"/>
      <c r="P795" s="8"/>
      <c r="Q795" s="8"/>
      <c r="R795" s="8"/>
      <c r="S795" s="20"/>
      <c r="T795" s="6"/>
      <c r="U795" s="20"/>
      <c r="V795" s="43"/>
    </row>
    <row r="796" spans="1:22" s="53" customFormat="1" x14ac:dyDescent="0.35">
      <c r="A796" s="2"/>
      <c r="B796" s="3"/>
      <c r="C796" s="3"/>
      <c r="D796" s="3"/>
      <c r="E796" s="59"/>
      <c r="F796" s="59"/>
      <c r="G796" s="59"/>
      <c r="H796" s="34"/>
      <c r="I796" s="60"/>
      <c r="J796" s="60"/>
      <c r="K796" s="61"/>
      <c r="L796" s="61"/>
      <c r="M796" s="6"/>
      <c r="N796" s="13"/>
      <c r="O796" s="8"/>
      <c r="P796" s="8"/>
      <c r="Q796" s="8"/>
      <c r="R796" s="8"/>
      <c r="S796" s="20"/>
      <c r="T796" s="6"/>
      <c r="U796" s="20"/>
      <c r="V796" s="43"/>
    </row>
    <row r="797" spans="1:22" s="53" customFormat="1" x14ac:dyDescent="0.35">
      <c r="A797" s="2"/>
      <c r="B797" s="3"/>
      <c r="C797" s="3"/>
      <c r="D797" s="3"/>
      <c r="E797" s="59"/>
      <c r="F797" s="59"/>
      <c r="G797" s="59"/>
      <c r="H797" s="34"/>
      <c r="I797" s="60"/>
      <c r="J797" s="60"/>
      <c r="K797" s="61"/>
      <c r="L797" s="61"/>
      <c r="M797" s="6"/>
      <c r="N797" s="13"/>
      <c r="O797" s="8"/>
      <c r="P797" s="8"/>
      <c r="Q797" s="8"/>
      <c r="R797" s="8"/>
      <c r="S797" s="20"/>
      <c r="T797" s="6"/>
      <c r="U797" s="20"/>
      <c r="V797" s="43"/>
    </row>
    <row r="798" spans="1:22" s="53" customFormat="1" x14ac:dyDescent="0.35">
      <c r="A798" s="2"/>
      <c r="B798" s="3"/>
      <c r="C798" s="3"/>
      <c r="D798" s="3"/>
      <c r="E798" s="59"/>
      <c r="F798" s="59"/>
      <c r="G798" s="59"/>
      <c r="H798" s="34"/>
      <c r="I798" s="60"/>
      <c r="J798" s="60"/>
      <c r="K798" s="61"/>
      <c r="L798" s="61"/>
      <c r="M798" s="6"/>
      <c r="N798" s="13"/>
      <c r="O798" s="8"/>
      <c r="P798" s="8"/>
      <c r="Q798" s="8"/>
      <c r="R798" s="8"/>
      <c r="S798" s="20"/>
      <c r="T798" s="6"/>
      <c r="U798" s="20"/>
      <c r="V798" s="43"/>
    </row>
    <row r="799" spans="1:22" s="53" customFormat="1" x14ac:dyDescent="0.35">
      <c r="A799" s="2"/>
      <c r="B799" s="3"/>
      <c r="C799" s="3"/>
      <c r="D799" s="3"/>
      <c r="E799" s="59"/>
      <c r="F799" s="59"/>
      <c r="G799" s="59"/>
      <c r="H799" s="34"/>
      <c r="I799" s="60"/>
      <c r="J799" s="96"/>
      <c r="K799" s="61"/>
      <c r="L799" s="61"/>
      <c r="M799" s="6"/>
      <c r="N799" s="13"/>
      <c r="O799" s="8"/>
      <c r="P799" s="8"/>
      <c r="Q799" s="8"/>
      <c r="R799" s="8"/>
      <c r="S799" s="20"/>
      <c r="T799" s="6"/>
      <c r="U799" s="20"/>
      <c r="V799" s="43"/>
    </row>
    <row r="800" spans="1:22" s="53" customFormat="1" x14ac:dyDescent="0.35">
      <c r="A800" s="2"/>
      <c r="B800" s="3"/>
      <c r="C800" s="3"/>
      <c r="D800" s="3"/>
      <c r="E800" s="59"/>
      <c r="F800" s="59"/>
      <c r="G800" s="59"/>
      <c r="H800" s="34"/>
      <c r="I800" s="60"/>
      <c r="J800" s="60"/>
      <c r="K800" s="61"/>
      <c r="L800" s="61"/>
      <c r="M800" s="6"/>
      <c r="N800" s="13"/>
      <c r="O800" s="8"/>
      <c r="P800" s="8"/>
      <c r="Q800" s="8"/>
      <c r="R800" s="8"/>
      <c r="S800" s="20"/>
      <c r="T800" s="6"/>
      <c r="U800" s="20"/>
      <c r="V800" s="43"/>
    </row>
    <row r="801" spans="1:22" s="53" customFormat="1" x14ac:dyDescent="0.35">
      <c r="A801" s="2"/>
      <c r="B801" s="3"/>
      <c r="C801" s="3"/>
      <c r="D801" s="3"/>
      <c r="E801" s="59"/>
      <c r="F801" s="59"/>
      <c r="G801" s="59"/>
      <c r="H801" s="34"/>
      <c r="I801" s="60"/>
      <c r="J801" s="96"/>
      <c r="K801" s="61"/>
      <c r="L801" s="61"/>
      <c r="M801" s="6"/>
      <c r="N801" s="13"/>
      <c r="O801" s="8"/>
      <c r="P801" s="8"/>
      <c r="Q801" s="8"/>
      <c r="R801" s="8"/>
      <c r="S801" s="20"/>
      <c r="T801" s="6"/>
      <c r="U801" s="20"/>
      <c r="V801" s="43"/>
    </row>
    <row r="802" spans="1:22" s="53" customFormat="1" x14ac:dyDescent="0.35">
      <c r="A802" s="2"/>
      <c r="B802" s="3"/>
      <c r="C802" s="3"/>
      <c r="D802" s="3"/>
      <c r="E802" s="59"/>
      <c r="F802" s="59"/>
      <c r="G802" s="59"/>
      <c r="H802" s="34"/>
      <c r="I802" s="60"/>
      <c r="J802" s="60"/>
      <c r="K802" s="61"/>
      <c r="L802" s="61"/>
      <c r="M802" s="6"/>
      <c r="N802" s="13"/>
      <c r="O802" s="8"/>
      <c r="P802" s="8"/>
      <c r="Q802" s="8"/>
      <c r="R802" s="8"/>
      <c r="S802" s="20"/>
      <c r="T802" s="6"/>
      <c r="U802" s="20"/>
      <c r="V802" s="43"/>
    </row>
    <row r="803" spans="1:22" s="53" customFormat="1" x14ac:dyDescent="0.35">
      <c r="A803" s="2"/>
      <c r="B803" s="3"/>
      <c r="C803" s="3"/>
      <c r="D803" s="3"/>
      <c r="E803" s="59"/>
      <c r="F803" s="59"/>
      <c r="G803" s="59"/>
      <c r="H803" s="34"/>
      <c r="I803" s="60"/>
      <c r="J803" s="96"/>
      <c r="K803" s="61"/>
      <c r="L803" s="61"/>
      <c r="M803" s="6"/>
      <c r="N803" s="13"/>
      <c r="O803" s="8"/>
      <c r="P803" s="8"/>
      <c r="Q803" s="8"/>
      <c r="R803" s="8"/>
      <c r="S803" s="20"/>
      <c r="T803" s="6"/>
      <c r="U803" s="20"/>
      <c r="V803" s="43"/>
    </row>
    <row r="804" spans="1:22" s="53" customFormat="1" x14ac:dyDescent="0.35">
      <c r="A804" s="2"/>
      <c r="B804" s="3"/>
      <c r="C804" s="3"/>
      <c r="D804" s="3"/>
      <c r="E804" s="59"/>
      <c r="F804" s="59"/>
      <c r="G804" s="59"/>
      <c r="H804" s="34"/>
      <c r="I804" s="60"/>
      <c r="J804" s="60"/>
      <c r="K804" s="61"/>
      <c r="L804" s="61"/>
      <c r="M804" s="6"/>
      <c r="N804" s="13"/>
      <c r="O804" s="8"/>
      <c r="P804" s="8"/>
      <c r="Q804" s="8"/>
      <c r="R804" s="8"/>
      <c r="S804" s="20"/>
      <c r="T804" s="6"/>
      <c r="U804" s="20"/>
      <c r="V804" s="43"/>
    </row>
    <row r="805" spans="1:22" s="53" customFormat="1" x14ac:dyDescent="0.35">
      <c r="A805" s="2"/>
      <c r="B805" s="3"/>
      <c r="C805" s="3"/>
      <c r="D805" s="3"/>
      <c r="E805" s="59"/>
      <c r="F805" s="59"/>
      <c r="G805" s="59"/>
      <c r="H805" s="34"/>
      <c r="I805" s="60"/>
      <c r="J805" s="60"/>
      <c r="K805" s="61"/>
      <c r="L805" s="61"/>
      <c r="M805" s="6"/>
      <c r="N805" s="13"/>
      <c r="O805" s="8"/>
      <c r="P805" s="8"/>
      <c r="Q805" s="8"/>
      <c r="R805" s="8"/>
      <c r="S805" s="20"/>
      <c r="T805" s="6"/>
      <c r="U805" s="20"/>
      <c r="V805" s="43"/>
    </row>
    <row r="806" spans="1:22" s="53" customFormat="1" x14ac:dyDescent="0.35">
      <c r="A806" s="2"/>
      <c r="B806" s="3"/>
      <c r="C806" s="3"/>
      <c r="D806" s="3"/>
      <c r="E806" s="59"/>
      <c r="F806" s="59"/>
      <c r="G806" s="59"/>
      <c r="H806" s="34"/>
      <c r="I806" s="60"/>
      <c r="J806" s="60"/>
      <c r="K806" s="61"/>
      <c r="L806" s="61"/>
      <c r="M806" s="6"/>
      <c r="N806" s="13"/>
      <c r="O806" s="8"/>
      <c r="P806" s="8"/>
      <c r="Q806" s="8"/>
      <c r="R806" s="8"/>
      <c r="S806" s="20"/>
      <c r="T806" s="6"/>
      <c r="U806" s="20"/>
      <c r="V806" s="43"/>
    </row>
    <row r="807" spans="1:22" s="53" customFormat="1" x14ac:dyDescent="0.35">
      <c r="A807" s="2"/>
      <c r="B807" s="3"/>
      <c r="C807" s="3"/>
      <c r="D807" s="3"/>
      <c r="E807" s="59"/>
      <c r="F807" s="59"/>
      <c r="G807" s="59"/>
      <c r="H807" s="34"/>
      <c r="I807" s="60"/>
      <c r="J807" s="60"/>
      <c r="K807" s="61"/>
      <c r="L807" s="61"/>
      <c r="M807" s="6"/>
      <c r="N807" s="13"/>
      <c r="O807" s="8"/>
      <c r="P807" s="8"/>
      <c r="Q807" s="8"/>
      <c r="R807" s="8"/>
      <c r="S807" s="20"/>
      <c r="T807" s="6"/>
      <c r="U807" s="20"/>
      <c r="V807" s="43"/>
    </row>
    <row r="808" spans="1:22" s="53" customFormat="1" x14ac:dyDescent="0.35">
      <c r="A808" s="2"/>
      <c r="B808" s="3"/>
      <c r="C808" s="3"/>
      <c r="D808" s="3"/>
      <c r="E808" s="59"/>
      <c r="F808" s="59"/>
      <c r="G808" s="59"/>
      <c r="H808" s="34"/>
      <c r="I808" s="60"/>
      <c r="J808" s="96"/>
      <c r="K808" s="61"/>
      <c r="L808" s="61"/>
      <c r="M808" s="6"/>
      <c r="N808" s="13"/>
      <c r="O808" s="8"/>
      <c r="P808" s="8"/>
      <c r="Q808" s="8"/>
      <c r="R808" s="8"/>
      <c r="S808" s="20"/>
      <c r="T808" s="6"/>
      <c r="U808" s="20"/>
      <c r="V808" s="43"/>
    </row>
    <row r="809" spans="1:22" s="53" customFormat="1" x14ac:dyDescent="0.35">
      <c r="A809" s="2"/>
      <c r="B809" s="3"/>
      <c r="C809" s="3"/>
      <c r="D809" s="3"/>
      <c r="E809" s="59"/>
      <c r="F809" s="59"/>
      <c r="G809" s="59"/>
      <c r="H809" s="34"/>
      <c r="I809" s="60"/>
      <c r="J809" s="60"/>
      <c r="K809" s="61"/>
      <c r="L809" s="61"/>
      <c r="M809" s="6"/>
      <c r="N809" s="13"/>
      <c r="O809" s="8"/>
      <c r="P809" s="8"/>
      <c r="Q809" s="8"/>
      <c r="R809" s="8"/>
      <c r="S809" s="20"/>
      <c r="T809" s="6"/>
      <c r="U809" s="20"/>
      <c r="V809" s="43"/>
    </row>
    <row r="810" spans="1:22" s="53" customFormat="1" x14ac:dyDescent="0.35">
      <c r="A810" s="2"/>
      <c r="B810" s="3"/>
      <c r="C810" s="3"/>
      <c r="D810" s="3"/>
      <c r="E810" s="59"/>
      <c r="F810" s="59"/>
      <c r="G810" s="59"/>
      <c r="H810" s="34"/>
      <c r="I810" s="60"/>
      <c r="J810" s="60"/>
      <c r="K810" s="61"/>
      <c r="L810" s="61"/>
      <c r="M810" s="6"/>
      <c r="N810" s="13"/>
      <c r="O810" s="8"/>
      <c r="P810" s="8"/>
      <c r="Q810" s="8"/>
      <c r="R810" s="8"/>
      <c r="S810" s="20"/>
      <c r="T810" s="6"/>
      <c r="U810" s="20"/>
      <c r="V810" s="12"/>
    </row>
    <row r="811" spans="1:22" s="53" customFormat="1" x14ac:dyDescent="0.35">
      <c r="A811" s="2"/>
      <c r="B811" s="3"/>
      <c r="C811" s="3"/>
      <c r="D811" s="3"/>
      <c r="E811" s="59"/>
      <c r="F811" s="59"/>
      <c r="G811" s="59"/>
      <c r="H811" s="34"/>
      <c r="I811" s="60"/>
      <c r="J811" s="60"/>
      <c r="K811" s="61"/>
      <c r="L811" s="61"/>
      <c r="M811" s="6"/>
      <c r="N811" s="13"/>
      <c r="O811" s="8"/>
      <c r="P811" s="8"/>
      <c r="Q811" s="8"/>
      <c r="R811" s="8"/>
      <c r="S811" s="20"/>
      <c r="T811" s="6"/>
      <c r="U811" s="20"/>
      <c r="V811" s="43"/>
    </row>
    <row r="812" spans="1:22" s="53" customFormat="1" x14ac:dyDescent="0.35">
      <c r="A812" s="2"/>
      <c r="B812" s="3"/>
      <c r="C812" s="3"/>
      <c r="D812" s="3"/>
      <c r="E812" s="59"/>
      <c r="F812" s="59"/>
      <c r="G812" s="59"/>
      <c r="H812" s="34"/>
      <c r="I812" s="60"/>
      <c r="J812" s="96"/>
      <c r="K812" s="61"/>
      <c r="L812" s="61"/>
      <c r="M812" s="6"/>
      <c r="N812" s="13"/>
      <c r="O812" s="8"/>
      <c r="P812" s="8"/>
      <c r="Q812" s="8"/>
      <c r="R812" s="8"/>
      <c r="S812" s="20"/>
      <c r="T812" s="6"/>
      <c r="U812" s="20"/>
      <c r="V812" s="43"/>
    </row>
    <row r="813" spans="1:22" s="53" customFormat="1" x14ac:dyDescent="0.35">
      <c r="A813" s="2"/>
      <c r="B813" s="3"/>
      <c r="C813" s="3"/>
      <c r="D813" s="3"/>
      <c r="E813" s="59"/>
      <c r="F813" s="59"/>
      <c r="G813" s="59"/>
      <c r="H813" s="34"/>
      <c r="I813" s="60"/>
      <c r="J813" s="60"/>
      <c r="K813" s="61"/>
      <c r="L813" s="61"/>
      <c r="M813" s="6"/>
      <c r="N813" s="13"/>
      <c r="O813" s="8"/>
      <c r="P813" s="8"/>
      <c r="Q813" s="8"/>
      <c r="R813" s="8"/>
      <c r="S813" s="20"/>
      <c r="T813" s="6"/>
      <c r="U813" s="20"/>
      <c r="V813" s="12"/>
    </row>
    <row r="814" spans="1:22" s="53" customFormat="1" x14ac:dyDescent="0.35">
      <c r="A814" s="2"/>
      <c r="B814" s="3"/>
      <c r="C814" s="3"/>
      <c r="D814" s="3"/>
      <c r="E814" s="59"/>
      <c r="F814" s="59"/>
      <c r="G814" s="59"/>
      <c r="H814" s="34"/>
      <c r="I814" s="60"/>
      <c r="J814" s="60"/>
      <c r="K814" s="61"/>
      <c r="L814" s="61"/>
      <c r="M814" s="6"/>
      <c r="N814" s="13"/>
      <c r="O814" s="8"/>
      <c r="P814" s="8"/>
      <c r="Q814" s="8"/>
      <c r="R814" s="8"/>
      <c r="S814" s="20"/>
      <c r="T814" s="6"/>
      <c r="U814" s="20"/>
      <c r="V814" s="12"/>
    </row>
    <row r="815" spans="1:22" s="53" customFormat="1" x14ac:dyDescent="0.35">
      <c r="A815" s="2"/>
      <c r="B815" s="3"/>
      <c r="C815" s="3"/>
      <c r="D815" s="3"/>
      <c r="E815" s="59"/>
      <c r="F815" s="59"/>
      <c r="G815" s="59"/>
      <c r="H815" s="34"/>
      <c r="I815" s="60"/>
      <c r="J815" s="60"/>
      <c r="K815" s="61"/>
      <c r="L815" s="61"/>
      <c r="M815" s="6"/>
      <c r="N815" s="13"/>
      <c r="O815" s="8"/>
      <c r="P815" s="8"/>
      <c r="Q815" s="8"/>
      <c r="R815" s="8"/>
      <c r="S815" s="20"/>
      <c r="T815" s="6"/>
      <c r="U815" s="20"/>
      <c r="V815" s="43"/>
    </row>
    <row r="816" spans="1:22" s="53" customFormat="1" x14ac:dyDescent="0.35">
      <c r="A816" s="2"/>
      <c r="B816" s="3"/>
      <c r="C816" s="3"/>
      <c r="D816" s="3"/>
      <c r="E816" s="59"/>
      <c r="F816" s="59"/>
      <c r="G816" s="59"/>
      <c r="H816" s="34"/>
      <c r="I816" s="60"/>
      <c r="J816" s="60"/>
      <c r="K816" s="61"/>
      <c r="L816" s="61"/>
      <c r="M816" s="6"/>
      <c r="N816" s="13"/>
      <c r="O816" s="8"/>
      <c r="P816" s="8"/>
      <c r="Q816" s="8"/>
      <c r="R816" s="8"/>
      <c r="S816" s="20"/>
      <c r="T816" s="6"/>
      <c r="U816" s="20"/>
      <c r="V816" s="43"/>
    </row>
    <row r="817" spans="1:22" s="53" customFormat="1" x14ac:dyDescent="0.35">
      <c r="A817" s="2"/>
      <c r="B817" s="3"/>
      <c r="C817" s="3"/>
      <c r="D817" s="3"/>
      <c r="E817" s="59"/>
      <c r="F817" s="59"/>
      <c r="G817" s="59"/>
      <c r="H817" s="34"/>
      <c r="I817" s="60"/>
      <c r="J817" s="60"/>
      <c r="K817" s="61"/>
      <c r="L817" s="61"/>
      <c r="M817" s="6"/>
      <c r="N817" s="13"/>
      <c r="O817" s="8"/>
      <c r="P817" s="8"/>
      <c r="Q817" s="8"/>
      <c r="R817" s="8"/>
      <c r="S817" s="20"/>
      <c r="T817" s="6"/>
      <c r="U817" s="20"/>
      <c r="V817" s="43"/>
    </row>
    <row r="818" spans="1:22" s="53" customFormat="1" x14ac:dyDescent="0.35">
      <c r="A818" s="2"/>
      <c r="B818" s="3"/>
      <c r="C818" s="3"/>
      <c r="D818" s="3"/>
      <c r="E818" s="59"/>
      <c r="F818" s="59"/>
      <c r="G818" s="59"/>
      <c r="H818" s="34"/>
      <c r="I818" s="60"/>
      <c r="J818" s="60"/>
      <c r="K818" s="61"/>
      <c r="L818" s="61"/>
      <c r="M818" s="6"/>
      <c r="N818" s="13"/>
      <c r="O818" s="8"/>
      <c r="P818" s="8"/>
      <c r="Q818" s="8"/>
      <c r="R818" s="8"/>
      <c r="S818" s="20"/>
      <c r="T818" s="6"/>
      <c r="U818" s="20"/>
      <c r="V818" s="43"/>
    </row>
    <row r="819" spans="1:22" s="53" customFormat="1" x14ac:dyDescent="0.35">
      <c r="A819" s="2"/>
      <c r="B819" s="3"/>
      <c r="C819" s="3"/>
      <c r="D819" s="3"/>
      <c r="E819" s="59"/>
      <c r="F819" s="59"/>
      <c r="G819" s="59"/>
      <c r="H819" s="34"/>
      <c r="I819" s="60"/>
      <c r="J819" s="60"/>
      <c r="K819" s="61"/>
      <c r="L819" s="61"/>
      <c r="M819" s="6"/>
      <c r="N819" s="13"/>
      <c r="O819" s="8"/>
      <c r="P819" s="8"/>
      <c r="Q819" s="8"/>
      <c r="R819" s="8"/>
      <c r="S819" s="20"/>
      <c r="T819" s="6"/>
      <c r="U819" s="20"/>
      <c r="V819" s="12"/>
    </row>
    <row r="820" spans="1:22" s="53" customFormat="1" x14ac:dyDescent="0.35">
      <c r="A820" s="2"/>
      <c r="B820" s="3"/>
      <c r="C820" s="3"/>
      <c r="D820" s="3"/>
      <c r="E820" s="59"/>
      <c r="F820" s="59"/>
      <c r="G820" s="59"/>
      <c r="H820" s="34"/>
      <c r="I820" s="60"/>
      <c r="J820" s="60"/>
      <c r="K820" s="61"/>
      <c r="L820" s="61"/>
      <c r="M820" s="6"/>
      <c r="N820" s="13"/>
      <c r="O820" s="8"/>
      <c r="P820" s="8"/>
      <c r="Q820" s="8"/>
      <c r="R820" s="8"/>
      <c r="S820" s="20"/>
      <c r="T820" s="6"/>
      <c r="U820" s="20"/>
      <c r="V820" s="12"/>
    </row>
    <row r="821" spans="1:22" s="53" customFormat="1" x14ac:dyDescent="0.35">
      <c r="A821" s="2"/>
      <c r="B821" s="3"/>
      <c r="C821" s="3"/>
      <c r="D821" s="3"/>
      <c r="E821" s="59"/>
      <c r="F821" s="59"/>
      <c r="G821" s="59"/>
      <c r="H821" s="34"/>
      <c r="I821" s="60"/>
      <c r="J821" s="60"/>
      <c r="K821" s="61"/>
      <c r="L821" s="61"/>
      <c r="M821" s="6"/>
      <c r="N821" s="13"/>
      <c r="O821" s="8"/>
      <c r="P821" s="8"/>
      <c r="Q821" s="8"/>
      <c r="R821" s="8"/>
      <c r="S821" s="20"/>
      <c r="T821" s="6"/>
      <c r="U821" s="20"/>
      <c r="V821" s="12"/>
    </row>
    <row r="822" spans="1:22" s="53" customFormat="1" x14ac:dyDescent="0.35">
      <c r="A822" s="2"/>
      <c r="B822" s="3"/>
      <c r="C822" s="3"/>
      <c r="D822" s="3"/>
      <c r="E822" s="59"/>
      <c r="F822" s="59"/>
      <c r="G822" s="59"/>
      <c r="H822" s="34"/>
      <c r="I822" s="60"/>
      <c r="J822" s="60"/>
      <c r="K822" s="61"/>
      <c r="L822" s="61"/>
      <c r="M822" s="6"/>
      <c r="N822" s="13"/>
      <c r="O822" s="8"/>
      <c r="P822" s="8"/>
      <c r="Q822" s="8"/>
      <c r="R822" s="8"/>
      <c r="S822" s="20"/>
      <c r="T822" s="6"/>
      <c r="U822" s="20"/>
      <c r="V822" s="12"/>
    </row>
    <row r="823" spans="1:22" s="53" customFormat="1" x14ac:dyDescent="0.35">
      <c r="A823" s="2"/>
      <c r="B823" s="3"/>
      <c r="C823" s="3"/>
      <c r="D823" s="3"/>
      <c r="E823" s="59"/>
      <c r="F823" s="59"/>
      <c r="G823" s="59"/>
      <c r="H823" s="34"/>
      <c r="I823" s="60"/>
      <c r="J823" s="60"/>
      <c r="K823" s="61"/>
      <c r="L823" s="61"/>
      <c r="M823" s="6"/>
      <c r="N823" s="13"/>
      <c r="O823" s="8"/>
      <c r="P823" s="8"/>
      <c r="Q823" s="8"/>
      <c r="R823" s="8"/>
      <c r="S823" s="20"/>
      <c r="T823" s="6"/>
      <c r="U823" s="20"/>
      <c r="V823" s="12"/>
    </row>
    <row r="824" spans="1:22" s="53" customFormat="1" x14ac:dyDescent="0.35">
      <c r="A824" s="2"/>
      <c r="B824" s="3"/>
      <c r="C824" s="3"/>
      <c r="D824" s="3"/>
      <c r="E824" s="59"/>
      <c r="F824" s="59"/>
      <c r="G824" s="59"/>
      <c r="H824" s="34"/>
      <c r="I824" s="60"/>
      <c r="J824" s="60"/>
      <c r="K824" s="61"/>
      <c r="L824" s="61"/>
      <c r="M824" s="6"/>
      <c r="N824" s="13"/>
      <c r="O824" s="8"/>
      <c r="P824" s="8"/>
      <c r="Q824" s="8"/>
      <c r="R824" s="8"/>
      <c r="S824" s="20"/>
      <c r="T824" s="6"/>
      <c r="U824" s="20"/>
      <c r="V824" s="12"/>
    </row>
    <row r="825" spans="1:22" s="53" customFormat="1" x14ac:dyDescent="0.35">
      <c r="A825" s="2"/>
      <c r="B825" s="3"/>
      <c r="C825" s="3"/>
      <c r="D825" s="3"/>
      <c r="E825" s="59"/>
      <c r="F825" s="59"/>
      <c r="G825" s="59"/>
      <c r="H825" s="34"/>
      <c r="I825" s="60"/>
      <c r="J825" s="60"/>
      <c r="K825" s="60"/>
      <c r="L825" s="61"/>
      <c r="M825" s="6"/>
      <c r="N825" s="13"/>
      <c r="O825" s="8"/>
      <c r="P825" s="8"/>
      <c r="Q825" s="8"/>
      <c r="R825" s="8"/>
      <c r="S825" s="20"/>
      <c r="T825" s="6"/>
      <c r="U825" s="20"/>
      <c r="V825" s="43"/>
    </row>
    <row r="826" spans="1:22" s="53" customFormat="1" x14ac:dyDescent="0.35">
      <c r="A826" s="2"/>
      <c r="B826" s="3"/>
      <c r="C826" s="3"/>
      <c r="D826" s="3"/>
      <c r="E826" s="59"/>
      <c r="F826" s="59"/>
      <c r="G826" s="59"/>
      <c r="H826" s="34"/>
      <c r="I826" s="60"/>
      <c r="J826" s="60"/>
      <c r="K826" s="96"/>
      <c r="L826" s="61"/>
      <c r="M826" s="6"/>
      <c r="N826" s="13"/>
      <c r="O826" s="8"/>
      <c r="P826" s="8"/>
      <c r="Q826" s="8"/>
      <c r="R826" s="8"/>
      <c r="S826" s="20"/>
      <c r="T826" s="6"/>
      <c r="U826" s="20"/>
      <c r="V826" s="43"/>
    </row>
    <row r="827" spans="1:22" s="53" customFormat="1" x14ac:dyDescent="0.35">
      <c r="A827" s="2"/>
      <c r="B827" s="3"/>
      <c r="C827" s="3"/>
      <c r="D827" s="3"/>
      <c r="E827" s="59"/>
      <c r="F827" s="59"/>
      <c r="G827" s="59"/>
      <c r="H827" s="34"/>
      <c r="I827" s="60"/>
      <c r="J827" s="60"/>
      <c r="K827" s="60"/>
      <c r="L827" s="61"/>
      <c r="M827" s="6"/>
      <c r="N827" s="13"/>
      <c r="O827" s="8"/>
      <c r="P827" s="8"/>
      <c r="Q827" s="8"/>
      <c r="R827" s="8"/>
      <c r="S827" s="20"/>
      <c r="T827" s="6"/>
      <c r="U827" s="20"/>
      <c r="V827" s="43"/>
    </row>
    <row r="828" spans="1:22" s="53" customFormat="1" x14ac:dyDescent="0.35">
      <c r="A828" s="2"/>
      <c r="B828" s="3"/>
      <c r="C828" s="3"/>
      <c r="D828" s="3"/>
      <c r="E828" s="59"/>
      <c r="F828" s="59"/>
      <c r="G828" s="59"/>
      <c r="H828" s="34"/>
      <c r="I828" s="60"/>
      <c r="J828" s="60"/>
      <c r="K828" s="96"/>
      <c r="L828" s="61"/>
      <c r="M828" s="6"/>
      <c r="N828" s="13"/>
      <c r="O828" s="8"/>
      <c r="P828" s="8"/>
      <c r="Q828" s="8"/>
      <c r="R828" s="8"/>
      <c r="S828" s="20"/>
      <c r="T828" s="6"/>
      <c r="U828" s="20"/>
      <c r="V828" s="43"/>
    </row>
    <row r="829" spans="1:22" s="53" customFormat="1" x14ac:dyDescent="0.35">
      <c r="A829" s="2"/>
      <c r="B829" s="3"/>
      <c r="C829" s="3"/>
      <c r="D829" s="3"/>
      <c r="E829" s="59"/>
      <c r="F829" s="59"/>
      <c r="G829" s="59"/>
      <c r="H829" s="34"/>
      <c r="I829" s="60"/>
      <c r="J829" s="60"/>
      <c r="K829" s="60"/>
      <c r="L829" s="61"/>
      <c r="M829" s="6"/>
      <c r="N829" s="13"/>
      <c r="O829" s="8"/>
      <c r="P829" s="8"/>
      <c r="Q829" s="8"/>
      <c r="R829" s="8"/>
      <c r="S829" s="20"/>
      <c r="T829" s="6"/>
      <c r="U829" s="20"/>
      <c r="V829" s="43"/>
    </row>
    <row r="830" spans="1:22" s="53" customFormat="1" x14ac:dyDescent="0.35">
      <c r="A830" s="2"/>
      <c r="B830" s="3"/>
      <c r="C830" s="3"/>
      <c r="D830" s="3"/>
      <c r="E830" s="59"/>
      <c r="F830" s="59"/>
      <c r="G830" s="59"/>
      <c r="H830" s="34"/>
      <c r="I830" s="60"/>
      <c r="J830" s="60"/>
      <c r="K830" s="60"/>
      <c r="L830" s="61"/>
      <c r="M830" s="6"/>
      <c r="N830" s="13"/>
      <c r="O830" s="8"/>
      <c r="P830" s="8"/>
      <c r="Q830" s="8"/>
      <c r="R830" s="8"/>
      <c r="S830" s="20"/>
      <c r="T830" s="6"/>
      <c r="U830" s="20"/>
      <c r="V830" s="43"/>
    </row>
    <row r="831" spans="1:22" s="53" customFormat="1" x14ac:dyDescent="0.35">
      <c r="A831" s="2"/>
      <c r="B831" s="3"/>
      <c r="C831" s="3"/>
      <c r="D831" s="3"/>
      <c r="E831" s="59"/>
      <c r="F831" s="59"/>
      <c r="G831" s="59"/>
      <c r="H831" s="34"/>
      <c r="I831" s="60"/>
      <c r="J831" s="60"/>
      <c r="K831" s="60"/>
      <c r="L831" s="61"/>
      <c r="M831" s="6"/>
      <c r="N831" s="13"/>
      <c r="O831" s="8"/>
      <c r="P831" s="8"/>
      <c r="Q831" s="8"/>
      <c r="R831" s="8"/>
      <c r="S831" s="20"/>
      <c r="T831" s="6"/>
      <c r="U831" s="20"/>
      <c r="V831" s="43"/>
    </row>
    <row r="832" spans="1:22" s="53" customFormat="1" x14ac:dyDescent="0.35">
      <c r="A832" s="2"/>
      <c r="B832" s="3"/>
      <c r="C832" s="3"/>
      <c r="D832" s="3"/>
      <c r="E832" s="59"/>
      <c r="F832" s="59"/>
      <c r="G832" s="59"/>
      <c r="H832" s="34"/>
      <c r="I832" s="60"/>
      <c r="J832" s="60"/>
      <c r="K832" s="60"/>
      <c r="L832" s="61"/>
      <c r="M832" s="6"/>
      <c r="N832" s="13"/>
      <c r="O832" s="8"/>
      <c r="P832" s="8"/>
      <c r="Q832" s="8"/>
      <c r="R832" s="8"/>
      <c r="S832" s="20"/>
      <c r="T832" s="6"/>
      <c r="U832" s="20"/>
      <c r="V832" s="43"/>
    </row>
    <row r="833" spans="1:22" s="53" customFormat="1" x14ac:dyDescent="0.35">
      <c r="A833" s="2"/>
      <c r="B833" s="3"/>
      <c r="C833" s="3"/>
      <c r="D833" s="3"/>
      <c r="E833" s="59"/>
      <c r="F833" s="59"/>
      <c r="G833" s="59"/>
      <c r="H833" s="34"/>
      <c r="I833" s="60"/>
      <c r="J833" s="60"/>
      <c r="K833" s="96"/>
      <c r="L833" s="61"/>
      <c r="M833" s="6"/>
      <c r="N833" s="13"/>
      <c r="O833" s="8"/>
      <c r="P833" s="8"/>
      <c r="Q833" s="8"/>
      <c r="R833" s="8"/>
      <c r="S833" s="20"/>
      <c r="T833" s="6"/>
      <c r="U833" s="20"/>
      <c r="V833" s="43"/>
    </row>
    <row r="834" spans="1:22" s="53" customFormat="1" x14ac:dyDescent="0.35">
      <c r="A834" s="2"/>
      <c r="B834" s="3"/>
      <c r="C834" s="3"/>
      <c r="D834" s="3"/>
      <c r="E834" s="59"/>
      <c r="F834" s="59"/>
      <c r="G834" s="59"/>
      <c r="H834" s="34"/>
      <c r="I834" s="60"/>
      <c r="J834" s="60"/>
      <c r="K834" s="60"/>
      <c r="L834" s="61"/>
      <c r="M834" s="6"/>
      <c r="N834" s="13"/>
      <c r="O834" s="8"/>
      <c r="P834" s="8"/>
      <c r="Q834" s="8"/>
      <c r="R834" s="8"/>
      <c r="S834" s="20"/>
      <c r="T834" s="6"/>
      <c r="U834" s="20"/>
      <c r="V834" s="43"/>
    </row>
    <row r="835" spans="1:22" s="53" customFormat="1" x14ac:dyDescent="0.35">
      <c r="A835" s="2"/>
      <c r="B835" s="3"/>
      <c r="C835" s="3"/>
      <c r="D835" s="3"/>
      <c r="E835" s="59"/>
      <c r="F835" s="59"/>
      <c r="G835" s="59"/>
      <c r="H835" s="34"/>
      <c r="I835" s="60"/>
      <c r="J835" s="60"/>
      <c r="K835" s="60"/>
      <c r="L835" s="61"/>
      <c r="M835" s="6"/>
      <c r="N835" s="13"/>
      <c r="O835" s="8"/>
      <c r="P835" s="8"/>
      <c r="Q835" s="8"/>
      <c r="R835" s="8"/>
      <c r="S835" s="20"/>
      <c r="T835" s="6"/>
      <c r="U835" s="20"/>
      <c r="V835" s="43"/>
    </row>
    <row r="836" spans="1:22" s="53" customFormat="1" x14ac:dyDescent="0.35">
      <c r="A836" s="2"/>
      <c r="B836" s="3"/>
      <c r="C836" s="3"/>
      <c r="D836" s="3"/>
      <c r="E836" s="59"/>
      <c r="F836" s="59"/>
      <c r="G836" s="59"/>
      <c r="H836" s="34"/>
      <c r="I836" s="60"/>
      <c r="J836" s="60"/>
      <c r="K836" s="60"/>
      <c r="L836" s="61"/>
      <c r="M836" s="6"/>
      <c r="N836" s="13"/>
      <c r="O836" s="8"/>
      <c r="P836" s="8"/>
      <c r="Q836" s="8"/>
      <c r="R836" s="8"/>
      <c r="S836" s="20"/>
      <c r="T836" s="6"/>
      <c r="U836" s="20"/>
      <c r="V836" s="43"/>
    </row>
    <row r="837" spans="1:22" s="53" customFormat="1" x14ac:dyDescent="0.35">
      <c r="A837" s="2"/>
      <c r="B837" s="3"/>
      <c r="C837" s="3"/>
      <c r="D837" s="3"/>
      <c r="E837" s="59"/>
      <c r="F837" s="59"/>
      <c r="G837" s="59"/>
      <c r="H837" s="34"/>
      <c r="I837" s="60"/>
      <c r="J837" s="60"/>
      <c r="K837" s="60"/>
      <c r="L837" s="61"/>
      <c r="M837" s="6"/>
      <c r="N837" s="13"/>
      <c r="O837" s="8"/>
      <c r="P837" s="8"/>
      <c r="Q837" s="8"/>
      <c r="R837" s="8"/>
      <c r="S837" s="20"/>
      <c r="T837" s="6"/>
      <c r="U837" s="20"/>
      <c r="V837" s="43"/>
    </row>
    <row r="838" spans="1:22" s="53" customFormat="1" x14ac:dyDescent="0.35">
      <c r="A838" s="2"/>
      <c r="B838" s="3"/>
      <c r="C838" s="3"/>
      <c r="D838" s="3"/>
      <c r="E838" s="59"/>
      <c r="F838" s="59"/>
      <c r="G838" s="59"/>
      <c r="H838" s="34"/>
      <c r="I838" s="60"/>
      <c r="J838" s="60"/>
      <c r="K838" s="96"/>
      <c r="L838" s="61"/>
      <c r="M838" s="6"/>
      <c r="N838" s="13"/>
      <c r="O838" s="8"/>
      <c r="P838" s="8"/>
      <c r="Q838" s="8"/>
      <c r="R838" s="8"/>
      <c r="S838" s="20"/>
      <c r="T838" s="6"/>
      <c r="U838" s="20"/>
      <c r="V838" s="43"/>
    </row>
    <row r="839" spans="1:22" s="53" customFormat="1" x14ac:dyDescent="0.35">
      <c r="A839" s="2"/>
      <c r="B839" s="3"/>
      <c r="C839" s="3"/>
      <c r="D839" s="3"/>
      <c r="E839" s="59"/>
      <c r="F839" s="59"/>
      <c r="G839" s="59"/>
      <c r="H839" s="34"/>
      <c r="I839" s="60"/>
      <c r="J839" s="60"/>
      <c r="K839" s="60"/>
      <c r="L839" s="61"/>
      <c r="M839" s="6"/>
      <c r="N839" s="13"/>
      <c r="O839" s="8"/>
      <c r="P839" s="8"/>
      <c r="Q839" s="8"/>
      <c r="R839" s="8"/>
      <c r="S839" s="20"/>
      <c r="T839" s="6"/>
      <c r="U839" s="20"/>
      <c r="V839" s="43"/>
    </row>
    <row r="840" spans="1:22" s="53" customFormat="1" x14ac:dyDescent="0.35">
      <c r="A840" s="2"/>
      <c r="B840" s="3"/>
      <c r="C840" s="3"/>
      <c r="D840" s="3"/>
      <c r="E840" s="59"/>
      <c r="F840" s="59"/>
      <c r="G840" s="59"/>
      <c r="H840" s="34"/>
      <c r="I840" s="60"/>
      <c r="J840" s="60"/>
      <c r="K840" s="60"/>
      <c r="L840" s="61"/>
      <c r="M840" s="6"/>
      <c r="N840" s="13"/>
      <c r="O840" s="8"/>
      <c r="P840" s="8"/>
      <c r="Q840" s="8"/>
      <c r="R840" s="8"/>
      <c r="S840" s="20"/>
      <c r="T840" s="6"/>
      <c r="U840" s="20"/>
      <c r="V840" s="43"/>
    </row>
    <row r="841" spans="1:22" s="53" customFormat="1" x14ac:dyDescent="0.35">
      <c r="A841" s="2"/>
      <c r="B841" s="3"/>
      <c r="C841" s="3"/>
      <c r="D841" s="3"/>
      <c r="E841" s="59"/>
      <c r="F841" s="59"/>
      <c r="G841" s="59"/>
      <c r="H841" s="34"/>
      <c r="I841" s="60"/>
      <c r="J841" s="60"/>
      <c r="K841" s="60"/>
      <c r="L841" s="61"/>
      <c r="M841" s="6"/>
      <c r="N841" s="13"/>
      <c r="O841" s="8"/>
      <c r="P841" s="8"/>
      <c r="Q841" s="8"/>
      <c r="R841" s="8"/>
      <c r="S841" s="20"/>
      <c r="T841" s="6"/>
      <c r="U841" s="20"/>
      <c r="V841" s="12"/>
    </row>
    <row r="842" spans="1:22" s="53" customFormat="1" x14ac:dyDescent="0.35">
      <c r="A842" s="2"/>
      <c r="B842" s="3"/>
      <c r="C842" s="3"/>
      <c r="D842" s="3"/>
      <c r="E842" s="59"/>
      <c r="F842" s="59"/>
      <c r="G842" s="59"/>
      <c r="H842" s="34"/>
      <c r="I842" s="60"/>
      <c r="J842" s="60"/>
      <c r="K842" s="60"/>
      <c r="L842" s="61"/>
      <c r="M842" s="6"/>
      <c r="N842" s="13"/>
      <c r="O842" s="8"/>
      <c r="P842" s="8"/>
      <c r="Q842" s="8"/>
      <c r="R842" s="8"/>
      <c r="S842" s="20"/>
      <c r="T842" s="6"/>
      <c r="U842" s="20"/>
      <c r="V842" s="43"/>
    </row>
    <row r="843" spans="1:22" s="53" customFormat="1" x14ac:dyDescent="0.35">
      <c r="A843" s="2"/>
      <c r="B843" s="3"/>
      <c r="C843" s="3"/>
      <c r="D843" s="3"/>
      <c r="E843" s="59"/>
      <c r="F843" s="59"/>
      <c r="G843" s="59"/>
      <c r="H843" s="34"/>
      <c r="I843" s="60"/>
      <c r="J843" s="60"/>
      <c r="K843" s="96"/>
      <c r="L843" s="61"/>
      <c r="M843" s="6"/>
      <c r="N843" s="13"/>
      <c r="O843" s="8"/>
      <c r="P843" s="8"/>
      <c r="Q843" s="8"/>
      <c r="R843" s="8"/>
      <c r="S843" s="20"/>
      <c r="T843" s="6"/>
      <c r="U843" s="20"/>
      <c r="V843" s="43"/>
    </row>
    <row r="844" spans="1:22" s="53" customFormat="1" x14ac:dyDescent="0.35">
      <c r="A844" s="2"/>
      <c r="B844" s="3"/>
      <c r="C844" s="3"/>
      <c r="D844" s="3"/>
      <c r="E844" s="59"/>
      <c r="F844" s="59"/>
      <c r="G844" s="59"/>
      <c r="H844" s="34"/>
      <c r="I844" s="60"/>
      <c r="J844" s="60"/>
      <c r="K844" s="96"/>
      <c r="L844" s="61"/>
      <c r="M844" s="6"/>
      <c r="N844" s="13"/>
      <c r="O844" s="8"/>
      <c r="P844" s="8"/>
      <c r="Q844" s="8"/>
      <c r="R844" s="8"/>
      <c r="S844" s="20"/>
      <c r="T844" s="6"/>
      <c r="U844" s="20"/>
      <c r="V844" s="12"/>
    </row>
    <row r="845" spans="1:22" s="53" customFormat="1" x14ac:dyDescent="0.35">
      <c r="A845" s="2"/>
      <c r="B845" s="3"/>
      <c r="C845" s="3"/>
      <c r="D845" s="3"/>
      <c r="E845" s="59"/>
      <c r="F845" s="59"/>
      <c r="G845" s="59"/>
      <c r="H845" s="34"/>
      <c r="I845" s="60"/>
      <c r="J845" s="60"/>
      <c r="K845" s="96"/>
      <c r="L845" s="61"/>
      <c r="M845" s="6"/>
      <c r="N845" s="13"/>
      <c r="O845" s="8"/>
      <c r="P845" s="8"/>
      <c r="Q845" s="8"/>
      <c r="R845" s="8"/>
      <c r="S845" s="20"/>
      <c r="T845" s="6"/>
      <c r="U845" s="20"/>
      <c r="V845" s="12"/>
    </row>
    <row r="846" spans="1:22" s="53" customFormat="1" x14ac:dyDescent="0.35">
      <c r="A846" s="2"/>
      <c r="B846" s="3"/>
      <c r="C846" s="3"/>
      <c r="D846" s="3"/>
      <c r="E846" s="59"/>
      <c r="F846" s="59"/>
      <c r="G846" s="59"/>
      <c r="H846" s="34"/>
      <c r="I846" s="60"/>
      <c r="J846" s="60"/>
      <c r="K846" s="96"/>
      <c r="L846" s="61"/>
      <c r="M846" s="6"/>
      <c r="N846" s="13"/>
      <c r="O846" s="8"/>
      <c r="P846" s="8"/>
      <c r="Q846" s="8"/>
      <c r="R846" s="8"/>
      <c r="S846" s="20"/>
      <c r="T846" s="6"/>
      <c r="U846" s="20"/>
      <c r="V846" s="43"/>
    </row>
    <row r="847" spans="1:22" s="53" customFormat="1" x14ac:dyDescent="0.35">
      <c r="A847" s="2"/>
      <c r="B847" s="3"/>
      <c r="C847" s="3"/>
      <c r="D847" s="3"/>
      <c r="E847" s="59"/>
      <c r="F847" s="59"/>
      <c r="G847" s="59"/>
      <c r="H847" s="34"/>
      <c r="I847" s="60"/>
      <c r="J847" s="60"/>
      <c r="K847" s="96"/>
      <c r="L847" s="61"/>
      <c r="M847" s="6"/>
      <c r="N847" s="13"/>
      <c r="O847" s="8"/>
      <c r="P847" s="8"/>
      <c r="Q847" s="8"/>
      <c r="R847" s="8"/>
      <c r="S847" s="20"/>
      <c r="T847" s="6"/>
      <c r="U847" s="20"/>
      <c r="V847" s="43"/>
    </row>
    <row r="848" spans="1:22" s="53" customFormat="1" x14ac:dyDescent="0.35">
      <c r="A848" s="2"/>
      <c r="B848" s="3"/>
      <c r="C848" s="3"/>
      <c r="D848" s="3"/>
      <c r="E848" s="59"/>
      <c r="F848" s="59"/>
      <c r="G848" s="59"/>
      <c r="H848" s="34"/>
      <c r="I848" s="60"/>
      <c r="J848" s="60"/>
      <c r="K848" s="60"/>
      <c r="L848" s="61"/>
      <c r="M848" s="6"/>
      <c r="N848" s="13"/>
      <c r="O848" s="8"/>
      <c r="P848" s="8"/>
      <c r="Q848" s="8"/>
      <c r="R848" s="8"/>
      <c r="S848" s="20"/>
      <c r="T848" s="6"/>
      <c r="U848" s="20"/>
      <c r="V848" s="43"/>
    </row>
    <row r="849" spans="1:22" s="53" customFormat="1" x14ac:dyDescent="0.35">
      <c r="A849" s="2"/>
      <c r="B849" s="3"/>
      <c r="C849" s="3"/>
      <c r="D849" s="3"/>
      <c r="E849" s="59"/>
      <c r="F849" s="59"/>
      <c r="G849" s="59"/>
      <c r="H849" s="34"/>
      <c r="I849" s="60"/>
      <c r="J849" s="60"/>
      <c r="K849" s="60"/>
      <c r="L849" s="61"/>
      <c r="M849" s="6"/>
      <c r="N849" s="13"/>
      <c r="O849" s="8"/>
      <c r="P849" s="8"/>
      <c r="Q849" s="8"/>
      <c r="R849" s="8"/>
      <c r="S849" s="20"/>
      <c r="T849" s="6"/>
      <c r="U849" s="20"/>
      <c r="V849" s="43"/>
    </row>
    <row r="850" spans="1:22" s="53" customFormat="1" x14ac:dyDescent="0.35">
      <c r="A850" s="2"/>
      <c r="B850" s="3"/>
      <c r="C850" s="3"/>
      <c r="D850" s="3"/>
      <c r="E850" s="59"/>
      <c r="F850" s="59"/>
      <c r="G850" s="59"/>
      <c r="H850" s="34"/>
      <c r="I850" s="60"/>
      <c r="J850" s="60"/>
      <c r="K850" s="60"/>
      <c r="L850" s="61"/>
      <c r="M850" s="6"/>
      <c r="N850" s="13"/>
      <c r="O850" s="8"/>
      <c r="P850" s="8"/>
      <c r="Q850" s="8"/>
      <c r="R850" s="8"/>
      <c r="S850" s="20"/>
      <c r="T850" s="6"/>
      <c r="U850" s="20"/>
      <c r="V850" s="12"/>
    </row>
    <row r="851" spans="1:22" s="53" customFormat="1" x14ac:dyDescent="0.35">
      <c r="A851" s="2"/>
      <c r="B851" s="3"/>
      <c r="C851" s="3"/>
      <c r="D851" s="3"/>
      <c r="E851" s="59"/>
      <c r="F851" s="59"/>
      <c r="G851" s="59"/>
      <c r="H851" s="34"/>
      <c r="I851" s="60"/>
      <c r="J851" s="60"/>
      <c r="K851" s="60"/>
      <c r="L851" s="61"/>
      <c r="M851" s="6"/>
      <c r="N851" s="13"/>
      <c r="O851" s="8"/>
      <c r="P851" s="8"/>
      <c r="Q851" s="8"/>
      <c r="R851" s="8"/>
      <c r="S851" s="20"/>
      <c r="T851" s="6"/>
      <c r="U851" s="20"/>
      <c r="V851" s="12"/>
    </row>
    <row r="852" spans="1:22" s="53" customFormat="1" x14ac:dyDescent="0.35">
      <c r="A852" s="2"/>
      <c r="B852" s="3"/>
      <c r="C852" s="3"/>
      <c r="D852" s="3"/>
      <c r="E852" s="59"/>
      <c r="F852" s="59"/>
      <c r="G852" s="59"/>
      <c r="H852" s="34"/>
      <c r="I852" s="60"/>
      <c r="J852" s="60"/>
      <c r="K852" s="60"/>
      <c r="L852" s="61"/>
      <c r="M852" s="6"/>
      <c r="N852" s="13"/>
      <c r="O852" s="8"/>
      <c r="P852" s="8"/>
      <c r="Q852" s="8"/>
      <c r="R852" s="8"/>
      <c r="S852" s="20"/>
      <c r="T852" s="6"/>
      <c r="U852" s="20"/>
      <c r="V852" s="12"/>
    </row>
    <row r="853" spans="1:22" s="53" customFormat="1" x14ac:dyDescent="0.35">
      <c r="A853" s="2"/>
      <c r="B853" s="3"/>
      <c r="C853" s="3"/>
      <c r="D853" s="3"/>
      <c r="E853" s="97"/>
      <c r="F853" s="97"/>
      <c r="G853" s="97"/>
      <c r="H853" s="98"/>
      <c r="I853" s="96"/>
      <c r="J853" s="96"/>
      <c r="K853" s="96"/>
      <c r="L853" s="61"/>
      <c r="M853" s="51"/>
      <c r="N853" s="6"/>
      <c r="O853" s="8"/>
      <c r="P853" s="8"/>
      <c r="Q853" s="8"/>
      <c r="R853" s="8"/>
      <c r="S853" s="20"/>
      <c r="T853" s="6"/>
      <c r="U853" s="20"/>
      <c r="V853" s="43"/>
    </row>
    <row r="854" spans="1:22" s="53" customFormat="1" x14ac:dyDescent="0.35">
      <c r="A854" s="2"/>
      <c r="B854" s="3"/>
      <c r="C854" s="3"/>
      <c r="D854" s="3"/>
      <c r="E854" s="97"/>
      <c r="F854" s="97"/>
      <c r="G854" s="97"/>
      <c r="H854" s="98"/>
      <c r="I854" s="96"/>
      <c r="J854" s="96"/>
      <c r="K854" s="96"/>
      <c r="L854" s="61"/>
      <c r="M854" s="51"/>
      <c r="N854" s="6"/>
      <c r="O854" s="8"/>
      <c r="P854" s="8"/>
      <c r="Q854" s="8"/>
      <c r="R854" s="8"/>
      <c r="S854" s="20"/>
      <c r="T854" s="6"/>
      <c r="U854" s="20"/>
      <c r="V854" s="43"/>
    </row>
    <row r="855" spans="1:22" s="53" customFormat="1" x14ac:dyDescent="0.35">
      <c r="A855" s="2"/>
      <c r="B855" s="3"/>
      <c r="C855" s="3"/>
      <c r="D855" s="3"/>
      <c r="E855" s="97"/>
      <c r="F855" s="97"/>
      <c r="G855" s="97"/>
      <c r="H855" s="98"/>
      <c r="I855" s="96"/>
      <c r="J855" s="96"/>
      <c r="K855" s="96"/>
      <c r="L855" s="61"/>
      <c r="M855" s="51"/>
      <c r="N855" s="6"/>
      <c r="O855" s="8"/>
      <c r="P855" s="8"/>
      <c r="Q855" s="8"/>
      <c r="R855" s="8"/>
      <c r="S855" s="20"/>
      <c r="T855" s="6"/>
      <c r="U855" s="20"/>
      <c r="V855" s="43"/>
    </row>
    <row r="856" spans="1:22" s="53" customFormat="1" x14ac:dyDescent="0.35">
      <c r="A856" s="2"/>
      <c r="B856" s="3"/>
      <c r="C856" s="3"/>
      <c r="D856" s="3"/>
      <c r="E856" s="97"/>
      <c r="F856" s="97"/>
      <c r="G856" s="97"/>
      <c r="H856" s="98"/>
      <c r="I856" s="96"/>
      <c r="J856" s="96"/>
      <c r="K856" s="96"/>
      <c r="L856" s="61"/>
      <c r="M856" s="51"/>
      <c r="N856" s="6"/>
      <c r="O856" s="8"/>
      <c r="P856" s="8"/>
      <c r="Q856" s="8"/>
      <c r="R856" s="8"/>
      <c r="S856" s="20"/>
      <c r="T856" s="6"/>
      <c r="U856" s="20"/>
      <c r="V856" s="43"/>
    </row>
    <row r="857" spans="1:22" s="53" customFormat="1" x14ac:dyDescent="0.35">
      <c r="A857" s="2"/>
      <c r="B857" s="3"/>
      <c r="C857" s="3"/>
      <c r="D857" s="3"/>
      <c r="E857" s="97"/>
      <c r="F857" s="97"/>
      <c r="G857" s="97"/>
      <c r="H857" s="98"/>
      <c r="I857" s="96"/>
      <c r="J857" s="96"/>
      <c r="K857" s="96"/>
      <c r="L857" s="61"/>
      <c r="M857" s="51"/>
      <c r="N857" s="6"/>
      <c r="O857" s="8"/>
      <c r="P857" s="8"/>
      <c r="Q857" s="8"/>
      <c r="R857" s="8"/>
      <c r="S857" s="20"/>
      <c r="T857" s="6"/>
      <c r="U857" s="20"/>
      <c r="V857" s="43"/>
    </row>
    <row r="858" spans="1:22" s="53" customFormat="1" x14ac:dyDescent="0.35">
      <c r="A858" s="2"/>
      <c r="B858" s="3"/>
      <c r="C858" s="3"/>
      <c r="D858" s="3"/>
      <c r="E858" s="97"/>
      <c r="F858" s="97"/>
      <c r="G858" s="97"/>
      <c r="H858" s="98"/>
      <c r="I858" s="96"/>
      <c r="J858" s="96"/>
      <c r="K858" s="96"/>
      <c r="L858" s="61"/>
      <c r="M858" s="51"/>
      <c r="N858" s="6"/>
      <c r="O858" s="8"/>
      <c r="P858" s="8"/>
      <c r="Q858" s="8"/>
      <c r="R858" s="8"/>
      <c r="S858" s="20"/>
      <c r="T858" s="6"/>
      <c r="U858" s="20"/>
      <c r="V858" s="43"/>
    </row>
    <row r="859" spans="1:22" s="53" customFormat="1" x14ac:dyDescent="0.35">
      <c r="A859" s="2"/>
      <c r="B859" s="3"/>
      <c r="C859" s="3"/>
      <c r="D859" s="3"/>
      <c r="E859" s="97"/>
      <c r="F859" s="97"/>
      <c r="G859" s="97"/>
      <c r="H859" s="98"/>
      <c r="I859" s="96"/>
      <c r="J859" s="96"/>
      <c r="K859" s="96"/>
      <c r="L859" s="61"/>
      <c r="M859" s="51"/>
      <c r="N859" s="6"/>
      <c r="O859" s="8"/>
      <c r="P859" s="8"/>
      <c r="Q859" s="8"/>
      <c r="R859" s="8"/>
      <c r="S859" s="20"/>
      <c r="T859" s="6"/>
      <c r="U859" s="20"/>
      <c r="V859" s="43"/>
    </row>
    <row r="860" spans="1:22" s="53" customFormat="1" x14ac:dyDescent="0.35">
      <c r="A860" s="2"/>
      <c r="B860" s="3"/>
      <c r="C860" s="3"/>
      <c r="D860" s="3"/>
      <c r="E860" s="97"/>
      <c r="F860" s="97"/>
      <c r="G860" s="97"/>
      <c r="H860" s="98"/>
      <c r="I860" s="96"/>
      <c r="J860" s="96"/>
      <c r="K860" s="96"/>
      <c r="L860" s="61"/>
      <c r="M860" s="51"/>
      <c r="N860" s="6"/>
      <c r="O860" s="8"/>
      <c r="P860" s="8"/>
      <c r="Q860" s="8"/>
      <c r="R860" s="8"/>
      <c r="S860" s="20"/>
      <c r="T860" s="6"/>
      <c r="U860" s="20"/>
      <c r="V860" s="43"/>
    </row>
    <row r="861" spans="1:22" s="53" customFormat="1" x14ac:dyDescent="0.35">
      <c r="A861" s="2"/>
      <c r="B861" s="3"/>
      <c r="C861" s="3"/>
      <c r="D861" s="3"/>
      <c r="E861" s="97"/>
      <c r="F861" s="97"/>
      <c r="G861" s="97"/>
      <c r="H861" s="98"/>
      <c r="I861" s="96"/>
      <c r="J861" s="96"/>
      <c r="K861" s="96"/>
      <c r="L861" s="61"/>
      <c r="M861" s="51"/>
      <c r="N861" s="6"/>
      <c r="O861" s="8"/>
      <c r="P861" s="8"/>
      <c r="Q861" s="8"/>
      <c r="R861" s="8"/>
      <c r="S861" s="20"/>
      <c r="T861" s="6"/>
      <c r="U861" s="20"/>
      <c r="V861" s="43"/>
    </row>
    <row r="862" spans="1:22" s="53" customFormat="1" x14ac:dyDescent="0.35">
      <c r="A862" s="2"/>
      <c r="B862" s="3"/>
      <c r="C862" s="3"/>
      <c r="D862" s="3"/>
      <c r="E862" s="97"/>
      <c r="F862" s="97"/>
      <c r="G862" s="97"/>
      <c r="H862" s="98"/>
      <c r="I862" s="96"/>
      <c r="J862" s="96"/>
      <c r="K862" s="96"/>
      <c r="L862" s="61"/>
      <c r="M862" s="51"/>
      <c r="N862" s="6"/>
      <c r="O862" s="8"/>
      <c r="P862" s="8"/>
      <c r="Q862" s="8"/>
      <c r="R862" s="8"/>
      <c r="S862" s="20"/>
      <c r="T862" s="6"/>
      <c r="U862" s="20"/>
      <c r="V862" s="43"/>
    </row>
    <row r="863" spans="1:22" s="53" customFormat="1" x14ac:dyDescent="0.35">
      <c r="A863" s="2"/>
      <c r="B863" s="3"/>
      <c r="C863" s="3"/>
      <c r="D863" s="3"/>
      <c r="E863" s="97"/>
      <c r="F863" s="97"/>
      <c r="G863" s="97"/>
      <c r="H863" s="98"/>
      <c r="I863" s="96"/>
      <c r="J863" s="96"/>
      <c r="K863" s="96"/>
      <c r="L863" s="61"/>
      <c r="M863" s="51"/>
      <c r="N863" s="6"/>
      <c r="O863" s="8"/>
      <c r="P863" s="8"/>
      <c r="Q863" s="8"/>
      <c r="R863" s="8"/>
      <c r="S863" s="20"/>
      <c r="T863" s="6"/>
      <c r="U863" s="20"/>
      <c r="V863" s="43"/>
    </row>
    <row r="864" spans="1:22" s="53" customFormat="1" x14ac:dyDescent="0.35">
      <c r="A864" s="2"/>
      <c r="B864" s="3"/>
      <c r="C864" s="3"/>
      <c r="D864" s="3"/>
      <c r="E864" s="97"/>
      <c r="F864" s="97"/>
      <c r="G864" s="97"/>
      <c r="H864" s="98"/>
      <c r="I864" s="96"/>
      <c r="J864" s="96"/>
      <c r="K864" s="96"/>
      <c r="L864" s="61"/>
      <c r="M864" s="51"/>
      <c r="N864" s="6"/>
      <c r="O864" s="8"/>
      <c r="P864" s="8"/>
      <c r="Q864" s="8"/>
      <c r="R864" s="8"/>
      <c r="S864" s="20"/>
      <c r="T864" s="6"/>
      <c r="U864" s="20"/>
      <c r="V864" s="43"/>
    </row>
    <row r="865" spans="1:22" s="53" customFormat="1" x14ac:dyDescent="0.35">
      <c r="A865" s="2"/>
      <c r="B865" s="3"/>
      <c r="C865" s="3"/>
      <c r="D865" s="3"/>
      <c r="E865" s="97"/>
      <c r="F865" s="97"/>
      <c r="G865" s="97"/>
      <c r="H865" s="98"/>
      <c r="I865" s="96"/>
      <c r="J865" s="96"/>
      <c r="K865" s="96"/>
      <c r="L865" s="61"/>
      <c r="M865" s="51"/>
      <c r="N865" s="6"/>
      <c r="O865" s="8"/>
      <c r="P865" s="8"/>
      <c r="Q865" s="8"/>
      <c r="R865" s="8"/>
      <c r="S865" s="20"/>
      <c r="T865" s="6"/>
      <c r="U865" s="20"/>
      <c r="V865" s="43"/>
    </row>
    <row r="866" spans="1:22" s="53" customFormat="1" x14ac:dyDescent="0.35">
      <c r="A866" s="2"/>
      <c r="B866" s="3"/>
      <c r="C866" s="3"/>
      <c r="D866" s="3"/>
      <c r="E866" s="97"/>
      <c r="F866" s="97"/>
      <c r="G866" s="97"/>
      <c r="H866" s="98"/>
      <c r="I866" s="96"/>
      <c r="J866" s="96"/>
      <c r="K866" s="96"/>
      <c r="L866" s="61"/>
      <c r="M866" s="51"/>
      <c r="N866" s="6"/>
      <c r="O866" s="8"/>
      <c r="P866" s="8"/>
      <c r="Q866" s="8"/>
      <c r="R866" s="8"/>
      <c r="S866" s="20"/>
      <c r="T866" s="6"/>
      <c r="U866" s="20"/>
      <c r="V866" s="43"/>
    </row>
    <row r="867" spans="1:22" s="53" customFormat="1" x14ac:dyDescent="0.35">
      <c r="A867" s="2"/>
      <c r="B867" s="3"/>
      <c r="C867" s="3"/>
      <c r="D867" s="3"/>
      <c r="E867" s="97"/>
      <c r="F867" s="97"/>
      <c r="G867" s="97"/>
      <c r="H867" s="98"/>
      <c r="I867" s="96"/>
      <c r="J867" s="96"/>
      <c r="K867" s="96"/>
      <c r="L867" s="61"/>
      <c r="M867" s="51"/>
      <c r="N867" s="6"/>
      <c r="O867" s="8"/>
      <c r="P867" s="8"/>
      <c r="Q867" s="8"/>
      <c r="R867" s="8"/>
      <c r="S867" s="20"/>
      <c r="T867" s="6"/>
      <c r="U867" s="20"/>
      <c r="V867" s="43"/>
    </row>
    <row r="868" spans="1:22" s="53" customFormat="1" x14ac:dyDescent="0.35">
      <c r="A868" s="2"/>
      <c r="B868" s="3"/>
      <c r="C868" s="3"/>
      <c r="D868" s="3"/>
      <c r="E868" s="97"/>
      <c r="F868" s="97"/>
      <c r="G868" s="97"/>
      <c r="H868" s="98"/>
      <c r="I868" s="96"/>
      <c r="J868" s="96"/>
      <c r="K868" s="96"/>
      <c r="L868" s="61"/>
      <c r="M868" s="51"/>
      <c r="N868" s="6"/>
      <c r="O868" s="8"/>
      <c r="P868" s="8"/>
      <c r="Q868" s="8"/>
      <c r="R868" s="8"/>
      <c r="S868" s="20"/>
      <c r="T868" s="6"/>
      <c r="U868" s="20"/>
      <c r="V868" s="43"/>
    </row>
    <row r="869" spans="1:22" s="53" customFormat="1" x14ac:dyDescent="0.35">
      <c r="A869" s="2"/>
      <c r="B869" s="3"/>
      <c r="C869" s="3"/>
      <c r="D869" s="3"/>
      <c r="E869" s="97"/>
      <c r="F869" s="97"/>
      <c r="G869" s="97"/>
      <c r="H869" s="98"/>
      <c r="I869" s="96"/>
      <c r="J869" s="96"/>
      <c r="K869" s="96"/>
      <c r="L869" s="61"/>
      <c r="M869" s="51"/>
      <c r="N869" s="6"/>
      <c r="O869" s="8"/>
      <c r="P869" s="8"/>
      <c r="Q869" s="8"/>
      <c r="R869" s="8"/>
      <c r="S869" s="20"/>
      <c r="T869" s="6"/>
      <c r="U869" s="20"/>
      <c r="V869" s="12"/>
    </row>
    <row r="870" spans="1:22" s="53" customFormat="1" x14ac:dyDescent="0.35">
      <c r="A870" s="2"/>
      <c r="B870" s="3"/>
      <c r="C870" s="3"/>
      <c r="D870" s="3"/>
      <c r="E870" s="97"/>
      <c r="F870" s="97"/>
      <c r="G870" s="97"/>
      <c r="H870" s="98"/>
      <c r="I870" s="96"/>
      <c r="J870" s="96"/>
      <c r="K870" s="96"/>
      <c r="L870" s="61"/>
      <c r="M870" s="51"/>
      <c r="N870" s="6"/>
      <c r="O870" s="8"/>
      <c r="P870" s="8"/>
      <c r="Q870" s="8"/>
      <c r="R870" s="8"/>
      <c r="S870" s="20"/>
      <c r="T870" s="6"/>
      <c r="U870" s="20"/>
      <c r="V870" s="43"/>
    </row>
    <row r="871" spans="1:22" s="53" customFormat="1" x14ac:dyDescent="0.35">
      <c r="A871" s="2"/>
      <c r="B871" s="3"/>
      <c r="C871" s="3"/>
      <c r="D871" s="3"/>
      <c r="E871" s="97"/>
      <c r="F871" s="97"/>
      <c r="G871" s="97"/>
      <c r="H871" s="98"/>
      <c r="I871" s="96"/>
      <c r="J871" s="96"/>
      <c r="K871" s="96"/>
      <c r="L871" s="61"/>
      <c r="M871" s="51"/>
      <c r="N871" s="6"/>
      <c r="O871" s="8"/>
      <c r="P871" s="8"/>
      <c r="Q871" s="8"/>
      <c r="R871" s="8"/>
      <c r="S871" s="20"/>
      <c r="T871" s="6"/>
      <c r="U871" s="20"/>
      <c r="V871" s="43"/>
    </row>
    <row r="872" spans="1:22" s="53" customFormat="1" x14ac:dyDescent="0.35">
      <c r="A872" s="2"/>
      <c r="B872" s="3"/>
      <c r="C872" s="3"/>
      <c r="D872" s="3"/>
      <c r="E872" s="97"/>
      <c r="F872" s="97"/>
      <c r="G872" s="97"/>
      <c r="H872" s="98"/>
      <c r="I872" s="96"/>
      <c r="J872" s="96"/>
      <c r="K872" s="96"/>
      <c r="L872" s="61"/>
      <c r="M872" s="51"/>
      <c r="N872" s="6"/>
      <c r="O872" s="8"/>
      <c r="P872" s="8"/>
      <c r="Q872" s="8"/>
      <c r="R872" s="8"/>
      <c r="S872" s="20"/>
      <c r="T872" s="6"/>
      <c r="U872" s="20"/>
      <c r="V872" s="12"/>
    </row>
    <row r="873" spans="1:22" s="53" customFormat="1" x14ac:dyDescent="0.35">
      <c r="A873" s="2"/>
      <c r="B873" s="3"/>
      <c r="C873" s="3"/>
      <c r="D873" s="3"/>
      <c r="E873" s="97"/>
      <c r="F873" s="97"/>
      <c r="G873" s="97"/>
      <c r="H873" s="98"/>
      <c r="I873" s="96"/>
      <c r="J873" s="96"/>
      <c r="K873" s="96"/>
      <c r="L873" s="61"/>
      <c r="M873" s="51"/>
      <c r="N873" s="6"/>
      <c r="O873" s="8"/>
      <c r="P873" s="8"/>
      <c r="Q873" s="8"/>
      <c r="R873" s="8"/>
      <c r="S873" s="20"/>
      <c r="T873" s="6"/>
      <c r="U873" s="20"/>
      <c r="V873" s="12"/>
    </row>
    <row r="874" spans="1:22" s="53" customFormat="1" x14ac:dyDescent="0.35">
      <c r="A874" s="2"/>
      <c r="B874" s="3"/>
      <c r="C874" s="3"/>
      <c r="D874" s="3"/>
      <c r="E874" s="97"/>
      <c r="F874" s="97"/>
      <c r="G874" s="97"/>
      <c r="H874" s="98"/>
      <c r="I874" s="96"/>
      <c r="J874" s="96"/>
      <c r="K874" s="96"/>
      <c r="L874" s="61"/>
      <c r="M874" s="51"/>
      <c r="N874" s="6"/>
      <c r="O874" s="8"/>
      <c r="P874" s="8"/>
      <c r="Q874" s="8"/>
      <c r="R874" s="8"/>
      <c r="S874" s="20"/>
      <c r="T874" s="6"/>
      <c r="U874" s="20"/>
      <c r="V874" s="43"/>
    </row>
    <row r="875" spans="1:22" s="53" customFormat="1" x14ac:dyDescent="0.35">
      <c r="A875" s="2"/>
      <c r="B875" s="3"/>
      <c r="C875" s="3"/>
      <c r="D875" s="3"/>
      <c r="E875" s="97"/>
      <c r="F875" s="97"/>
      <c r="G875" s="97"/>
      <c r="H875" s="98"/>
      <c r="I875" s="96"/>
      <c r="J875" s="96"/>
      <c r="K875" s="96"/>
      <c r="L875" s="61"/>
      <c r="M875" s="51"/>
      <c r="N875" s="6"/>
      <c r="O875" s="8"/>
      <c r="P875" s="8"/>
      <c r="Q875" s="8"/>
      <c r="R875" s="8"/>
      <c r="S875" s="20"/>
      <c r="T875" s="6"/>
      <c r="U875" s="20"/>
      <c r="V875" s="43"/>
    </row>
    <row r="876" spans="1:22" s="53" customFormat="1" x14ac:dyDescent="0.35">
      <c r="A876" s="2"/>
      <c r="B876" s="3"/>
      <c r="C876" s="3"/>
      <c r="D876" s="3"/>
      <c r="E876" s="97"/>
      <c r="F876" s="97"/>
      <c r="G876" s="97"/>
      <c r="H876" s="98"/>
      <c r="I876" s="96"/>
      <c r="J876" s="96"/>
      <c r="K876" s="96"/>
      <c r="L876" s="61"/>
      <c r="M876" s="51"/>
      <c r="N876" s="6"/>
      <c r="O876" s="8"/>
      <c r="P876" s="8"/>
      <c r="Q876" s="8"/>
      <c r="R876" s="8"/>
      <c r="S876" s="20"/>
      <c r="T876" s="6"/>
      <c r="U876" s="20"/>
      <c r="V876" s="43"/>
    </row>
    <row r="877" spans="1:22" s="53" customFormat="1" x14ac:dyDescent="0.35">
      <c r="A877" s="2"/>
      <c r="B877" s="3"/>
      <c r="C877" s="3"/>
      <c r="D877" s="3"/>
      <c r="E877" s="97"/>
      <c r="F877" s="97"/>
      <c r="G877" s="97"/>
      <c r="H877" s="98"/>
      <c r="I877" s="96"/>
      <c r="J877" s="96"/>
      <c r="K877" s="96"/>
      <c r="L877" s="61"/>
      <c r="M877" s="51"/>
      <c r="N877" s="6"/>
      <c r="O877" s="8"/>
      <c r="P877" s="8"/>
      <c r="Q877" s="8"/>
      <c r="R877" s="8"/>
      <c r="S877" s="20"/>
      <c r="T877" s="6"/>
      <c r="U877" s="20"/>
      <c r="V877" s="43"/>
    </row>
    <row r="878" spans="1:22" s="53" customFormat="1" x14ac:dyDescent="0.35">
      <c r="A878" s="2"/>
      <c r="B878" s="3"/>
      <c r="C878" s="3"/>
      <c r="D878" s="3"/>
      <c r="E878" s="97"/>
      <c r="F878" s="97"/>
      <c r="G878" s="97"/>
      <c r="H878" s="98"/>
      <c r="I878" s="96"/>
      <c r="J878" s="96"/>
      <c r="K878" s="96"/>
      <c r="L878" s="61"/>
      <c r="M878" s="51"/>
      <c r="N878" s="6"/>
      <c r="O878" s="8"/>
      <c r="P878" s="8"/>
      <c r="Q878" s="8"/>
      <c r="R878" s="8"/>
      <c r="S878" s="20"/>
      <c r="T878" s="6"/>
      <c r="U878" s="20"/>
      <c r="V878" s="12"/>
    </row>
    <row r="879" spans="1:22" s="53" customFormat="1" x14ac:dyDescent="0.35">
      <c r="A879" s="2"/>
      <c r="B879" s="3"/>
      <c r="C879" s="3"/>
      <c r="D879" s="3"/>
      <c r="E879" s="97"/>
      <c r="F879" s="97"/>
      <c r="G879" s="97"/>
      <c r="H879" s="98"/>
      <c r="I879" s="96"/>
      <c r="J879" s="96"/>
      <c r="K879" s="96"/>
      <c r="L879" s="61"/>
      <c r="M879" s="51"/>
      <c r="N879" s="6"/>
      <c r="O879" s="8"/>
      <c r="P879" s="8"/>
      <c r="Q879" s="8"/>
      <c r="R879" s="8"/>
      <c r="S879" s="20"/>
      <c r="T879" s="6"/>
      <c r="U879" s="20"/>
      <c r="V879" s="12"/>
    </row>
    <row r="880" spans="1:22" s="53" customFormat="1" x14ac:dyDescent="0.35">
      <c r="A880" s="2"/>
      <c r="B880" s="3"/>
      <c r="C880" s="3"/>
      <c r="D880" s="3"/>
      <c r="E880" s="97"/>
      <c r="F880" s="97"/>
      <c r="G880" s="97"/>
      <c r="H880" s="98"/>
      <c r="I880" s="96"/>
      <c r="J880" s="96"/>
      <c r="K880" s="96"/>
      <c r="L880" s="61"/>
      <c r="M880" s="51"/>
      <c r="N880" s="6"/>
      <c r="O880" s="8"/>
      <c r="P880" s="8"/>
      <c r="Q880" s="8"/>
      <c r="R880" s="8"/>
      <c r="S880" s="20"/>
      <c r="T880" s="6"/>
      <c r="U880" s="20"/>
      <c r="V880" s="12"/>
    </row>
    <row r="881" spans="1:22" s="53" customFormat="1" x14ac:dyDescent="0.35">
      <c r="A881" s="2"/>
      <c r="B881" s="3"/>
      <c r="C881" s="3"/>
      <c r="D881" s="3"/>
      <c r="E881" s="97"/>
      <c r="F881" s="97"/>
      <c r="G881" s="97"/>
      <c r="H881" s="98"/>
      <c r="I881" s="96"/>
      <c r="J881" s="96"/>
      <c r="K881" s="96"/>
      <c r="L881" s="61"/>
      <c r="M881" s="51"/>
      <c r="N881" s="6"/>
      <c r="O881" s="8"/>
      <c r="P881" s="8"/>
      <c r="Q881" s="8"/>
      <c r="R881" s="8"/>
      <c r="S881" s="20"/>
      <c r="T881" s="6"/>
      <c r="U881" s="20"/>
      <c r="V881" s="12"/>
    </row>
    <row r="882" spans="1:22" s="53" customFormat="1" x14ac:dyDescent="0.35">
      <c r="A882" s="2"/>
      <c r="B882" s="3"/>
      <c r="C882" s="3"/>
      <c r="D882" s="3"/>
      <c r="E882" s="97"/>
      <c r="F882" s="97"/>
      <c r="G882" s="97"/>
      <c r="H882" s="98"/>
      <c r="I882" s="96"/>
      <c r="J882" s="96"/>
      <c r="K882" s="96"/>
      <c r="L882" s="61"/>
      <c r="M882" s="51"/>
      <c r="N882" s="6"/>
      <c r="O882" s="8"/>
      <c r="P882" s="8"/>
      <c r="Q882" s="8"/>
      <c r="R882" s="8"/>
      <c r="S882" s="20"/>
      <c r="T882" s="6"/>
      <c r="U882" s="20"/>
      <c r="V882" s="12"/>
    </row>
    <row r="883" spans="1:22" s="53" customFormat="1" x14ac:dyDescent="0.35">
      <c r="A883" s="2"/>
      <c r="B883" s="3"/>
      <c r="C883" s="3"/>
      <c r="D883" s="3"/>
      <c r="E883" s="97"/>
      <c r="F883" s="97"/>
      <c r="G883" s="97"/>
      <c r="H883" s="98"/>
      <c r="I883" s="96"/>
      <c r="J883" s="96"/>
      <c r="K883" s="96"/>
      <c r="L883" s="96"/>
      <c r="M883" s="51"/>
      <c r="N883" s="6"/>
      <c r="O883" s="8"/>
      <c r="P883" s="8"/>
      <c r="Q883" s="8"/>
      <c r="R883" s="8"/>
      <c r="S883" s="20"/>
      <c r="T883" s="6"/>
      <c r="U883" s="20"/>
      <c r="V883" s="12"/>
    </row>
    <row r="884" spans="1:22" s="53" customFormat="1" x14ac:dyDescent="0.35">
      <c r="A884" s="2"/>
      <c r="B884" s="3"/>
      <c r="C884" s="3"/>
      <c r="D884" s="3"/>
      <c r="E884" s="97"/>
      <c r="F884" s="97"/>
      <c r="G884" s="97"/>
      <c r="H884" s="98"/>
      <c r="I884" s="96"/>
      <c r="J884" s="96"/>
      <c r="K884" s="96"/>
      <c r="L884" s="61"/>
      <c r="M884" s="51"/>
      <c r="N884" s="6"/>
      <c r="O884" s="8"/>
      <c r="P884" s="8"/>
      <c r="Q884" s="8"/>
      <c r="R884" s="8"/>
      <c r="S884" s="20"/>
      <c r="T884" s="6"/>
      <c r="U884" s="20"/>
      <c r="V884" s="43"/>
    </row>
    <row r="885" spans="1:22" s="53" customFormat="1" x14ac:dyDescent="0.35">
      <c r="A885" s="2"/>
      <c r="B885" s="3"/>
      <c r="C885" s="3"/>
      <c r="D885" s="3"/>
      <c r="E885" s="97"/>
      <c r="F885" s="97"/>
      <c r="G885" s="97"/>
      <c r="H885" s="98"/>
      <c r="I885" s="96"/>
      <c r="J885" s="96"/>
      <c r="K885" s="96"/>
      <c r="L885" s="61"/>
      <c r="M885" s="51"/>
      <c r="N885" s="6"/>
      <c r="O885" s="8"/>
      <c r="P885" s="8"/>
      <c r="Q885" s="8"/>
      <c r="R885" s="8"/>
      <c r="S885" s="20"/>
      <c r="T885" s="6"/>
      <c r="U885" s="20"/>
      <c r="V885" s="43"/>
    </row>
    <row r="886" spans="1:22" s="53" customFormat="1" x14ac:dyDescent="0.35">
      <c r="A886" s="2"/>
      <c r="B886" s="3"/>
      <c r="C886" s="3"/>
      <c r="D886" s="3"/>
      <c r="E886" s="97"/>
      <c r="F886" s="97"/>
      <c r="G886" s="97"/>
      <c r="H886" s="98"/>
      <c r="I886" s="96"/>
      <c r="J886" s="96"/>
      <c r="K886" s="96"/>
      <c r="L886" s="61"/>
      <c r="M886" s="51"/>
      <c r="N886" s="6"/>
      <c r="O886" s="8"/>
      <c r="P886" s="8"/>
      <c r="Q886" s="8"/>
      <c r="R886" s="8"/>
      <c r="S886" s="20"/>
      <c r="T886" s="6"/>
      <c r="U886" s="20"/>
      <c r="V886" s="43"/>
    </row>
    <row r="887" spans="1:22" s="53" customFormat="1" x14ac:dyDescent="0.35">
      <c r="A887" s="2"/>
      <c r="B887" s="3"/>
      <c r="C887" s="3"/>
      <c r="D887" s="3"/>
      <c r="E887" s="97"/>
      <c r="F887" s="97"/>
      <c r="G887" s="97"/>
      <c r="H887" s="98"/>
      <c r="I887" s="96"/>
      <c r="J887" s="96"/>
      <c r="K887" s="96"/>
      <c r="L887" s="61"/>
      <c r="M887" s="51"/>
      <c r="N887" s="6"/>
      <c r="O887" s="8"/>
      <c r="P887" s="8"/>
      <c r="Q887" s="8"/>
      <c r="R887" s="8"/>
      <c r="S887" s="20"/>
      <c r="T887" s="6"/>
      <c r="U887" s="20"/>
      <c r="V887" s="43"/>
    </row>
    <row r="888" spans="1:22" s="53" customFormat="1" x14ac:dyDescent="0.35">
      <c r="A888" s="2"/>
      <c r="B888" s="3"/>
      <c r="C888" s="3"/>
      <c r="D888" s="3"/>
      <c r="E888" s="97"/>
      <c r="F888" s="97"/>
      <c r="G888" s="97"/>
      <c r="H888" s="98"/>
      <c r="I888" s="96"/>
      <c r="J888" s="96"/>
      <c r="K888" s="96"/>
      <c r="L888" s="61"/>
      <c r="M888" s="51"/>
      <c r="N888" s="6"/>
      <c r="O888" s="8"/>
      <c r="P888" s="8"/>
      <c r="Q888" s="8"/>
      <c r="R888" s="8"/>
      <c r="S888" s="20"/>
      <c r="T888" s="6"/>
      <c r="U888" s="20"/>
      <c r="V888" s="43"/>
    </row>
    <row r="889" spans="1:22" s="53" customFormat="1" x14ac:dyDescent="0.35">
      <c r="A889" s="2"/>
      <c r="B889" s="3"/>
      <c r="C889" s="3"/>
      <c r="D889" s="3"/>
      <c r="E889" s="97"/>
      <c r="F889" s="97"/>
      <c r="G889" s="97"/>
      <c r="H889" s="98"/>
      <c r="I889" s="96"/>
      <c r="J889" s="96"/>
      <c r="K889" s="96"/>
      <c r="L889" s="61"/>
      <c r="M889" s="51"/>
      <c r="N889" s="6"/>
      <c r="O889" s="8"/>
      <c r="P889" s="8"/>
      <c r="Q889" s="8"/>
      <c r="R889" s="8"/>
      <c r="S889" s="20"/>
      <c r="T889" s="6"/>
      <c r="U889" s="20"/>
      <c r="V889" s="43"/>
    </row>
    <row r="890" spans="1:22" s="53" customFormat="1" x14ac:dyDescent="0.35">
      <c r="A890" s="2"/>
      <c r="B890" s="3"/>
      <c r="C890" s="3"/>
      <c r="D890" s="3"/>
      <c r="E890" s="97"/>
      <c r="F890" s="97"/>
      <c r="G890" s="97"/>
      <c r="H890" s="98"/>
      <c r="I890" s="96"/>
      <c r="J890" s="96"/>
      <c r="K890" s="96"/>
      <c r="L890" s="61"/>
      <c r="M890" s="51"/>
      <c r="N890" s="6"/>
      <c r="O890" s="8"/>
      <c r="P890" s="8"/>
      <c r="Q890" s="8"/>
      <c r="R890" s="8"/>
      <c r="S890" s="20"/>
      <c r="T890" s="6"/>
      <c r="U890" s="20"/>
      <c r="V890" s="43"/>
    </row>
    <row r="891" spans="1:22" s="53" customFormat="1" x14ac:dyDescent="0.35">
      <c r="A891" s="2"/>
      <c r="B891" s="3"/>
      <c r="C891" s="3"/>
      <c r="D891" s="3"/>
      <c r="E891" s="97"/>
      <c r="F891" s="97"/>
      <c r="G891" s="97"/>
      <c r="H891" s="98"/>
      <c r="I891" s="96"/>
      <c r="J891" s="96"/>
      <c r="K891" s="96"/>
      <c r="L891" s="61"/>
      <c r="M891" s="51"/>
      <c r="N891" s="6"/>
      <c r="O891" s="8"/>
      <c r="P891" s="8"/>
      <c r="Q891" s="8"/>
      <c r="R891" s="8"/>
      <c r="S891" s="20"/>
      <c r="T891" s="6"/>
      <c r="U891" s="20"/>
      <c r="V891" s="43"/>
    </row>
    <row r="892" spans="1:22" s="53" customFormat="1" x14ac:dyDescent="0.35">
      <c r="A892" s="2"/>
      <c r="B892" s="3"/>
      <c r="C892" s="3"/>
      <c r="D892" s="3"/>
      <c r="E892" s="97"/>
      <c r="F892" s="97"/>
      <c r="G892" s="97"/>
      <c r="H892" s="98"/>
      <c r="I892" s="96"/>
      <c r="J892" s="96"/>
      <c r="K892" s="96"/>
      <c r="L892" s="61"/>
      <c r="M892" s="51"/>
      <c r="N892" s="6"/>
      <c r="O892" s="8"/>
      <c r="P892" s="8"/>
      <c r="Q892" s="8"/>
      <c r="R892" s="8"/>
      <c r="S892" s="20"/>
      <c r="T892" s="6"/>
      <c r="U892" s="20"/>
      <c r="V892" s="43"/>
    </row>
    <row r="893" spans="1:22" s="53" customFormat="1" x14ac:dyDescent="0.35">
      <c r="A893" s="2"/>
      <c r="B893" s="3"/>
      <c r="C893" s="3"/>
      <c r="D893" s="3"/>
      <c r="E893" s="97"/>
      <c r="F893" s="97"/>
      <c r="G893" s="97"/>
      <c r="H893" s="98"/>
      <c r="I893" s="96"/>
      <c r="J893" s="96"/>
      <c r="K893" s="96"/>
      <c r="L893" s="61"/>
      <c r="M893" s="51"/>
      <c r="N893" s="6"/>
      <c r="O893" s="8"/>
      <c r="P893" s="8"/>
      <c r="Q893" s="8"/>
      <c r="R893" s="8"/>
      <c r="S893" s="20"/>
      <c r="T893" s="6"/>
      <c r="U893" s="20"/>
      <c r="V893" s="43"/>
    </row>
    <row r="894" spans="1:22" s="53" customFormat="1" x14ac:dyDescent="0.35">
      <c r="A894" s="2"/>
      <c r="B894" s="3"/>
      <c r="C894" s="3"/>
      <c r="D894" s="3"/>
      <c r="E894" s="97"/>
      <c r="F894" s="97"/>
      <c r="G894" s="97"/>
      <c r="H894" s="98"/>
      <c r="I894" s="96"/>
      <c r="J894" s="96"/>
      <c r="K894" s="96"/>
      <c r="L894" s="61"/>
      <c r="M894" s="51"/>
      <c r="N894" s="6"/>
      <c r="O894" s="8"/>
      <c r="P894" s="8"/>
      <c r="Q894" s="8"/>
      <c r="R894" s="8"/>
      <c r="S894" s="20"/>
      <c r="T894" s="6"/>
      <c r="U894" s="20"/>
      <c r="V894" s="43"/>
    </row>
    <row r="895" spans="1:22" s="53" customFormat="1" x14ac:dyDescent="0.35">
      <c r="A895" s="2"/>
      <c r="B895" s="3"/>
      <c r="C895" s="3"/>
      <c r="D895" s="3"/>
      <c r="E895" s="97"/>
      <c r="F895" s="97"/>
      <c r="G895" s="97"/>
      <c r="H895" s="98"/>
      <c r="I895" s="96"/>
      <c r="J895" s="96"/>
      <c r="K895" s="96"/>
      <c r="L895" s="61"/>
      <c r="M895" s="51"/>
      <c r="N895" s="6"/>
      <c r="O895" s="8"/>
      <c r="P895" s="8"/>
      <c r="Q895" s="8"/>
      <c r="R895" s="8"/>
      <c r="S895" s="20"/>
      <c r="T895" s="6"/>
      <c r="U895" s="20"/>
      <c r="V895" s="43"/>
    </row>
    <row r="896" spans="1:22" s="53" customFormat="1" x14ac:dyDescent="0.35">
      <c r="A896" s="2"/>
      <c r="B896" s="3"/>
      <c r="C896" s="3"/>
      <c r="D896" s="3"/>
      <c r="E896" s="97"/>
      <c r="F896" s="97"/>
      <c r="G896" s="97"/>
      <c r="H896" s="98"/>
      <c r="I896" s="96"/>
      <c r="J896" s="96"/>
      <c r="K896" s="96"/>
      <c r="L896" s="61"/>
      <c r="M896" s="51"/>
      <c r="N896" s="6"/>
      <c r="O896" s="8"/>
      <c r="P896" s="8"/>
      <c r="Q896" s="8"/>
      <c r="R896" s="8"/>
      <c r="S896" s="20"/>
      <c r="T896" s="6"/>
      <c r="U896" s="20"/>
      <c r="V896" s="43"/>
    </row>
    <row r="897" spans="1:22" s="53" customFormat="1" x14ac:dyDescent="0.35">
      <c r="A897" s="2"/>
      <c r="B897" s="3"/>
      <c r="C897" s="3"/>
      <c r="D897" s="3"/>
      <c r="E897" s="97"/>
      <c r="F897" s="97"/>
      <c r="G897" s="97"/>
      <c r="H897" s="98"/>
      <c r="I897" s="96"/>
      <c r="J897" s="96"/>
      <c r="K897" s="96"/>
      <c r="L897" s="61"/>
      <c r="M897" s="51"/>
      <c r="N897" s="6"/>
      <c r="O897" s="8"/>
      <c r="P897" s="8"/>
      <c r="Q897" s="8"/>
      <c r="R897" s="8"/>
      <c r="S897" s="20"/>
      <c r="T897" s="6"/>
      <c r="U897" s="20"/>
      <c r="V897" s="43"/>
    </row>
    <row r="898" spans="1:22" s="53" customFormat="1" x14ac:dyDescent="0.35">
      <c r="A898" s="2"/>
      <c r="B898" s="3"/>
      <c r="C898" s="3"/>
      <c r="D898" s="3"/>
      <c r="E898" s="97"/>
      <c r="F898" s="97"/>
      <c r="G898" s="97"/>
      <c r="H898" s="98"/>
      <c r="I898" s="96"/>
      <c r="J898" s="96"/>
      <c r="K898" s="96"/>
      <c r="L898" s="61"/>
      <c r="M898" s="51"/>
      <c r="N898" s="6"/>
      <c r="O898" s="8"/>
      <c r="P898" s="8"/>
      <c r="Q898" s="8"/>
      <c r="R898" s="8"/>
      <c r="S898" s="20"/>
      <c r="T898" s="6"/>
      <c r="U898" s="20"/>
      <c r="V898" s="43"/>
    </row>
    <row r="899" spans="1:22" s="53" customFormat="1" x14ac:dyDescent="0.35">
      <c r="A899" s="2"/>
      <c r="B899" s="3"/>
      <c r="C899" s="3"/>
      <c r="D899" s="3"/>
      <c r="E899" s="97"/>
      <c r="F899" s="97"/>
      <c r="G899" s="97"/>
      <c r="H899" s="98"/>
      <c r="I899" s="96"/>
      <c r="J899" s="96"/>
      <c r="K899" s="96"/>
      <c r="L899" s="61"/>
      <c r="M899" s="51"/>
      <c r="N899" s="6"/>
      <c r="O899" s="8"/>
      <c r="P899" s="8"/>
      <c r="Q899" s="8"/>
      <c r="R899" s="8"/>
      <c r="S899" s="20"/>
      <c r="T899" s="6"/>
      <c r="U899" s="20"/>
      <c r="V899" s="43"/>
    </row>
    <row r="900" spans="1:22" s="53" customFormat="1" x14ac:dyDescent="0.35">
      <c r="A900" s="2"/>
      <c r="B900" s="3"/>
      <c r="C900" s="3"/>
      <c r="D900" s="3"/>
      <c r="E900" s="97"/>
      <c r="F900" s="97"/>
      <c r="G900" s="97"/>
      <c r="H900" s="98"/>
      <c r="I900" s="96"/>
      <c r="J900" s="96"/>
      <c r="K900" s="96"/>
      <c r="L900" s="61"/>
      <c r="M900" s="51"/>
      <c r="N900" s="6"/>
      <c r="O900" s="8"/>
      <c r="P900" s="8"/>
      <c r="Q900" s="8"/>
      <c r="R900" s="8"/>
      <c r="S900" s="20"/>
      <c r="T900" s="6"/>
      <c r="U900" s="20"/>
      <c r="V900" s="12"/>
    </row>
    <row r="901" spans="1:22" s="53" customFormat="1" x14ac:dyDescent="0.35">
      <c r="A901" s="2"/>
      <c r="B901" s="3"/>
      <c r="C901" s="3"/>
      <c r="D901" s="3"/>
      <c r="E901" s="97"/>
      <c r="F901" s="97"/>
      <c r="G901" s="97"/>
      <c r="H901" s="98"/>
      <c r="I901" s="96"/>
      <c r="J901" s="96"/>
      <c r="K901" s="96"/>
      <c r="L901" s="61"/>
      <c r="M901" s="51"/>
      <c r="N901" s="6"/>
      <c r="O901" s="8"/>
      <c r="P901" s="8"/>
      <c r="Q901" s="8"/>
      <c r="R901" s="8"/>
      <c r="S901" s="20"/>
      <c r="T901" s="6"/>
      <c r="U901" s="20"/>
      <c r="V901" s="43"/>
    </row>
    <row r="902" spans="1:22" s="53" customFormat="1" x14ac:dyDescent="0.35">
      <c r="A902" s="2"/>
      <c r="B902" s="3"/>
      <c r="C902" s="3"/>
      <c r="D902" s="3"/>
      <c r="E902" s="97"/>
      <c r="F902" s="97"/>
      <c r="G902" s="97"/>
      <c r="H902" s="98"/>
      <c r="I902" s="96"/>
      <c r="J902" s="96"/>
      <c r="K902" s="96"/>
      <c r="L902" s="61"/>
      <c r="M902" s="51"/>
      <c r="N902" s="6"/>
      <c r="O902" s="8"/>
      <c r="P902" s="8"/>
      <c r="Q902" s="8"/>
      <c r="R902" s="8"/>
      <c r="S902" s="20"/>
      <c r="T902" s="6"/>
      <c r="U902" s="20"/>
      <c r="V902" s="43"/>
    </row>
    <row r="903" spans="1:22" s="53" customFormat="1" x14ac:dyDescent="0.35">
      <c r="A903" s="2"/>
      <c r="B903" s="3"/>
      <c r="C903" s="3"/>
      <c r="D903" s="3"/>
      <c r="E903" s="97"/>
      <c r="F903" s="97"/>
      <c r="G903" s="97"/>
      <c r="H903" s="98"/>
      <c r="I903" s="96"/>
      <c r="J903" s="96"/>
      <c r="K903" s="96"/>
      <c r="L903" s="61"/>
      <c r="M903" s="51"/>
      <c r="N903" s="6"/>
      <c r="O903" s="8"/>
      <c r="P903" s="8"/>
      <c r="Q903" s="8"/>
      <c r="R903" s="8"/>
      <c r="S903" s="20"/>
      <c r="T903" s="6"/>
      <c r="U903" s="20"/>
      <c r="V903" s="12"/>
    </row>
    <row r="904" spans="1:22" s="53" customFormat="1" x14ac:dyDescent="0.35">
      <c r="A904" s="2"/>
      <c r="B904" s="3"/>
      <c r="C904" s="3"/>
      <c r="D904" s="3"/>
      <c r="E904" s="97"/>
      <c r="F904" s="97"/>
      <c r="G904" s="97"/>
      <c r="H904" s="98"/>
      <c r="I904" s="96"/>
      <c r="J904" s="96"/>
      <c r="K904" s="96"/>
      <c r="L904" s="61"/>
      <c r="M904" s="51"/>
      <c r="N904" s="6"/>
      <c r="O904" s="8"/>
      <c r="P904" s="8"/>
      <c r="Q904" s="8"/>
      <c r="R904" s="8"/>
      <c r="S904" s="20"/>
      <c r="T904" s="6"/>
      <c r="U904" s="20"/>
      <c r="V904" s="12"/>
    </row>
    <row r="905" spans="1:22" s="53" customFormat="1" x14ac:dyDescent="0.35">
      <c r="A905" s="2"/>
      <c r="B905" s="3"/>
      <c r="C905" s="3"/>
      <c r="D905" s="3"/>
      <c r="E905" s="97"/>
      <c r="F905" s="97"/>
      <c r="G905" s="97"/>
      <c r="H905" s="98"/>
      <c r="I905" s="96"/>
      <c r="J905" s="96"/>
      <c r="K905" s="96"/>
      <c r="L905" s="61"/>
      <c r="M905" s="51"/>
      <c r="N905" s="6"/>
      <c r="O905" s="8"/>
      <c r="P905" s="8"/>
      <c r="Q905" s="8"/>
      <c r="R905" s="8"/>
      <c r="S905" s="20"/>
      <c r="T905" s="6"/>
      <c r="U905" s="20"/>
      <c r="V905" s="43"/>
    </row>
    <row r="906" spans="1:22" s="53" customFormat="1" x14ac:dyDescent="0.35">
      <c r="A906" s="2"/>
      <c r="B906" s="3"/>
      <c r="C906" s="3"/>
      <c r="D906" s="3"/>
      <c r="E906" s="97"/>
      <c r="F906" s="97"/>
      <c r="G906" s="97"/>
      <c r="H906" s="98"/>
      <c r="I906" s="96"/>
      <c r="J906" s="96"/>
      <c r="K906" s="96"/>
      <c r="L906" s="61"/>
      <c r="M906" s="51"/>
      <c r="N906" s="6"/>
      <c r="O906" s="8"/>
      <c r="P906" s="8"/>
      <c r="Q906" s="8"/>
      <c r="R906" s="8"/>
      <c r="S906" s="20"/>
      <c r="T906" s="6"/>
      <c r="U906" s="20"/>
      <c r="V906" s="43"/>
    </row>
    <row r="907" spans="1:22" s="53" customFormat="1" x14ac:dyDescent="0.35">
      <c r="A907" s="2"/>
      <c r="B907" s="3"/>
      <c r="C907" s="3"/>
      <c r="D907" s="3"/>
      <c r="E907" s="97"/>
      <c r="F907" s="97"/>
      <c r="G907" s="97"/>
      <c r="H907" s="98"/>
      <c r="I907" s="96"/>
      <c r="J907" s="96"/>
      <c r="K907" s="96"/>
      <c r="L907" s="61"/>
      <c r="M907" s="51"/>
      <c r="N907" s="6"/>
      <c r="O907" s="8"/>
      <c r="P907" s="8"/>
      <c r="Q907" s="8"/>
      <c r="R907" s="8"/>
      <c r="S907" s="20"/>
      <c r="T907" s="6"/>
      <c r="U907" s="20"/>
      <c r="V907" s="43"/>
    </row>
    <row r="908" spans="1:22" s="53" customFormat="1" x14ac:dyDescent="0.35">
      <c r="A908" s="2"/>
      <c r="B908" s="3"/>
      <c r="C908" s="3"/>
      <c r="D908" s="3"/>
      <c r="E908" s="97"/>
      <c r="F908" s="97"/>
      <c r="G908" s="97"/>
      <c r="H908" s="98"/>
      <c r="I908" s="96"/>
      <c r="J908" s="96"/>
      <c r="K908" s="96"/>
      <c r="L908" s="61"/>
      <c r="M908" s="51"/>
      <c r="N908" s="6"/>
      <c r="O908" s="8"/>
      <c r="P908" s="8"/>
      <c r="Q908" s="8"/>
      <c r="R908" s="8"/>
      <c r="S908" s="20"/>
      <c r="T908" s="6"/>
      <c r="U908" s="20"/>
      <c r="V908" s="43"/>
    </row>
    <row r="909" spans="1:22" s="53" customFormat="1" x14ac:dyDescent="0.35">
      <c r="A909" s="2"/>
      <c r="B909" s="3"/>
      <c r="C909" s="3"/>
      <c r="D909" s="3"/>
      <c r="E909" s="97"/>
      <c r="F909" s="97"/>
      <c r="G909" s="97"/>
      <c r="H909" s="98"/>
      <c r="I909" s="96"/>
      <c r="J909" s="96"/>
      <c r="K909" s="96"/>
      <c r="L909" s="61"/>
      <c r="M909" s="51"/>
      <c r="N909" s="6"/>
      <c r="O909" s="8"/>
      <c r="P909" s="8"/>
      <c r="Q909" s="8"/>
      <c r="R909" s="8"/>
      <c r="S909" s="20"/>
      <c r="T909" s="6"/>
      <c r="U909" s="20"/>
      <c r="V909" s="12"/>
    </row>
    <row r="910" spans="1:22" s="53" customFormat="1" x14ac:dyDescent="0.35">
      <c r="A910" s="2"/>
      <c r="B910" s="3"/>
      <c r="C910" s="3"/>
      <c r="D910" s="3"/>
      <c r="E910" s="97"/>
      <c r="F910" s="97"/>
      <c r="G910" s="97"/>
      <c r="H910" s="98"/>
      <c r="I910" s="96"/>
      <c r="J910" s="96"/>
      <c r="K910" s="96"/>
      <c r="L910" s="61"/>
      <c r="M910" s="51"/>
      <c r="N910" s="6"/>
      <c r="O910" s="8"/>
      <c r="P910" s="8"/>
      <c r="Q910" s="8"/>
      <c r="R910" s="8"/>
      <c r="S910" s="20"/>
      <c r="T910" s="6"/>
      <c r="U910" s="20"/>
      <c r="V910" s="12"/>
    </row>
    <row r="911" spans="1:22" s="53" customFormat="1" x14ac:dyDescent="0.35">
      <c r="A911" s="2"/>
      <c r="B911" s="3"/>
      <c r="C911" s="3"/>
      <c r="D911" s="3"/>
      <c r="E911" s="97"/>
      <c r="F911" s="97"/>
      <c r="G911" s="97"/>
      <c r="H911" s="98"/>
      <c r="I911" s="96"/>
      <c r="J911" s="96"/>
      <c r="K911" s="96"/>
      <c r="L911" s="61"/>
      <c r="M911" s="51"/>
      <c r="N911" s="6"/>
      <c r="O911" s="8"/>
      <c r="P911" s="8"/>
      <c r="Q911" s="8"/>
      <c r="R911" s="8"/>
      <c r="S911" s="20"/>
      <c r="T911" s="6"/>
      <c r="U911" s="20"/>
      <c r="V911" s="12"/>
    </row>
    <row r="912" spans="1:22" s="53" customFormat="1" x14ac:dyDescent="0.35">
      <c r="A912" s="2"/>
      <c r="B912" s="3"/>
      <c r="C912" s="3"/>
      <c r="D912" s="3"/>
      <c r="E912" s="97"/>
      <c r="F912" s="97"/>
      <c r="G912" s="97"/>
      <c r="H912" s="98"/>
      <c r="I912" s="96"/>
      <c r="J912" s="96"/>
      <c r="K912" s="96"/>
      <c r="L912" s="61"/>
      <c r="M912" s="51"/>
      <c r="N912" s="6"/>
      <c r="O912" s="8"/>
      <c r="P912" s="8"/>
      <c r="Q912" s="8"/>
      <c r="R912" s="8"/>
      <c r="S912" s="20"/>
      <c r="T912" s="6"/>
      <c r="U912" s="20"/>
      <c r="V912" s="12"/>
    </row>
    <row r="913" spans="1:22" s="53" customFormat="1" x14ac:dyDescent="0.35">
      <c r="A913" s="2"/>
      <c r="B913" s="3"/>
      <c r="C913" s="3"/>
      <c r="D913" s="3"/>
      <c r="E913" s="97"/>
      <c r="F913" s="97"/>
      <c r="G913" s="97"/>
      <c r="H913" s="98"/>
      <c r="I913" s="96"/>
      <c r="J913" s="96"/>
      <c r="K913" s="96"/>
      <c r="L913" s="61"/>
      <c r="M913" s="51"/>
      <c r="N913" s="6"/>
      <c r="O913" s="8"/>
      <c r="P913" s="8"/>
      <c r="Q913" s="8"/>
      <c r="R913" s="8"/>
      <c r="S913" s="20"/>
      <c r="T913" s="6"/>
      <c r="U913" s="20"/>
      <c r="V913" s="12"/>
    </row>
    <row r="914" spans="1:22" s="53" customFormat="1" x14ac:dyDescent="0.35">
      <c r="A914" s="2"/>
      <c r="B914" s="3"/>
      <c r="C914" s="3"/>
      <c r="D914" s="3"/>
      <c r="E914" s="97"/>
      <c r="F914" s="97"/>
      <c r="G914" s="97"/>
      <c r="H914" s="98"/>
      <c r="I914" s="96"/>
      <c r="J914" s="96"/>
      <c r="K914" s="96"/>
      <c r="L914" s="61"/>
      <c r="M914" s="6"/>
      <c r="N914" s="6"/>
      <c r="O914" s="8"/>
      <c r="P914" s="8"/>
      <c r="Q914" s="8"/>
      <c r="R914" s="8"/>
      <c r="S914" s="20"/>
      <c r="T914" s="6"/>
      <c r="U914" s="20"/>
      <c r="V914" s="43"/>
    </row>
    <row r="915" spans="1:22" s="53" customFormat="1" x14ac:dyDescent="0.35">
      <c r="A915" s="2"/>
      <c r="B915" s="3"/>
      <c r="C915" s="3"/>
      <c r="D915" s="3"/>
      <c r="E915" s="97"/>
      <c r="F915" s="97"/>
      <c r="G915" s="97"/>
      <c r="H915" s="98"/>
      <c r="I915" s="96"/>
      <c r="J915" s="96"/>
      <c r="K915" s="96"/>
      <c r="L915" s="61"/>
      <c r="M915" s="6"/>
      <c r="N915" s="6"/>
      <c r="O915" s="8"/>
      <c r="P915" s="8"/>
      <c r="Q915" s="8"/>
      <c r="R915" s="8"/>
      <c r="S915" s="20"/>
      <c r="T915" s="6"/>
      <c r="U915" s="20"/>
      <c r="V915" s="43"/>
    </row>
    <row r="916" spans="1:22" s="53" customFormat="1" x14ac:dyDescent="0.35">
      <c r="A916" s="2"/>
      <c r="B916" s="3"/>
      <c r="C916" s="3"/>
      <c r="D916" s="3"/>
      <c r="E916" s="97"/>
      <c r="F916" s="97"/>
      <c r="G916" s="97"/>
      <c r="H916" s="98"/>
      <c r="I916" s="96"/>
      <c r="J916" s="96"/>
      <c r="K916" s="96"/>
      <c r="L916" s="61"/>
      <c r="M916" s="6"/>
      <c r="N916" s="6"/>
      <c r="O916" s="8"/>
      <c r="P916" s="8"/>
      <c r="Q916" s="8"/>
      <c r="R916" s="8"/>
      <c r="S916" s="20"/>
      <c r="T916" s="6"/>
      <c r="U916" s="20"/>
      <c r="V916" s="43"/>
    </row>
    <row r="917" spans="1:22" s="53" customFormat="1" x14ac:dyDescent="0.35">
      <c r="A917" s="2"/>
      <c r="B917" s="3"/>
      <c r="C917" s="3"/>
      <c r="D917" s="3"/>
      <c r="E917" s="97"/>
      <c r="F917" s="97"/>
      <c r="G917" s="97"/>
      <c r="H917" s="98"/>
      <c r="I917" s="96"/>
      <c r="J917" s="96"/>
      <c r="K917" s="96"/>
      <c r="L917" s="61"/>
      <c r="M917" s="6"/>
      <c r="N917" s="6"/>
      <c r="O917" s="8"/>
      <c r="P917" s="8"/>
      <c r="Q917" s="8"/>
      <c r="R917" s="8"/>
      <c r="S917" s="20"/>
      <c r="T917" s="6"/>
      <c r="U917" s="20"/>
      <c r="V917" s="43"/>
    </row>
    <row r="918" spans="1:22" s="53" customFormat="1" x14ac:dyDescent="0.35">
      <c r="A918" s="2"/>
      <c r="B918" s="3"/>
      <c r="C918" s="3"/>
      <c r="D918" s="3"/>
      <c r="E918" s="97"/>
      <c r="F918" s="97"/>
      <c r="G918" s="97"/>
      <c r="H918" s="98"/>
      <c r="I918" s="96"/>
      <c r="J918" s="96"/>
      <c r="K918" s="96"/>
      <c r="L918" s="61"/>
      <c r="M918" s="6"/>
      <c r="N918" s="6"/>
      <c r="O918" s="8"/>
      <c r="P918" s="8"/>
      <c r="Q918" s="8"/>
      <c r="R918" s="8"/>
      <c r="S918" s="20"/>
      <c r="T918" s="6"/>
      <c r="U918" s="20"/>
      <c r="V918" s="43"/>
    </row>
    <row r="919" spans="1:22" s="53" customFormat="1" x14ac:dyDescent="0.35">
      <c r="A919" s="2"/>
      <c r="B919" s="3"/>
      <c r="C919" s="3"/>
      <c r="D919" s="3"/>
      <c r="E919" s="97"/>
      <c r="F919" s="97"/>
      <c r="G919" s="97"/>
      <c r="H919" s="98"/>
      <c r="I919" s="96"/>
      <c r="J919" s="96"/>
      <c r="K919" s="96"/>
      <c r="L919" s="61"/>
      <c r="M919" s="6"/>
      <c r="N919" s="6"/>
      <c r="O919" s="8"/>
      <c r="P919" s="8"/>
      <c r="Q919" s="8"/>
      <c r="R919" s="8"/>
      <c r="S919" s="20"/>
      <c r="T919" s="6"/>
      <c r="U919" s="20"/>
      <c r="V919" s="43"/>
    </row>
    <row r="920" spans="1:22" s="53" customFormat="1" x14ac:dyDescent="0.35">
      <c r="A920" s="2"/>
      <c r="B920" s="3"/>
      <c r="C920" s="3"/>
      <c r="D920" s="3"/>
      <c r="E920" s="97"/>
      <c r="F920" s="97"/>
      <c r="G920" s="97"/>
      <c r="H920" s="98"/>
      <c r="I920" s="96"/>
      <c r="J920" s="96"/>
      <c r="K920" s="96"/>
      <c r="L920" s="61"/>
      <c r="M920" s="6"/>
      <c r="N920" s="6"/>
      <c r="O920" s="8"/>
      <c r="P920" s="8"/>
      <c r="Q920" s="8"/>
      <c r="R920" s="8"/>
      <c r="S920" s="20"/>
      <c r="T920" s="6"/>
      <c r="U920" s="20"/>
      <c r="V920" s="43"/>
    </row>
    <row r="921" spans="1:22" s="53" customFormat="1" x14ac:dyDescent="0.35">
      <c r="A921" s="2"/>
      <c r="B921" s="3"/>
      <c r="C921" s="3"/>
      <c r="D921" s="3"/>
      <c r="E921" s="97"/>
      <c r="F921" s="97"/>
      <c r="G921" s="97"/>
      <c r="H921" s="98"/>
      <c r="I921" s="96"/>
      <c r="J921" s="96"/>
      <c r="K921" s="96"/>
      <c r="L921" s="61"/>
      <c r="M921" s="6"/>
      <c r="N921" s="6"/>
      <c r="O921" s="8"/>
      <c r="P921" s="8"/>
      <c r="Q921" s="8"/>
      <c r="R921" s="8"/>
      <c r="S921" s="20"/>
      <c r="T921" s="6"/>
      <c r="U921" s="20"/>
      <c r="V921" s="43"/>
    </row>
    <row r="922" spans="1:22" s="53" customFormat="1" x14ac:dyDescent="0.35">
      <c r="A922" s="2"/>
      <c r="B922" s="3"/>
      <c r="C922" s="3"/>
      <c r="D922" s="3"/>
      <c r="E922" s="97"/>
      <c r="F922" s="97"/>
      <c r="G922" s="97"/>
      <c r="H922" s="98"/>
      <c r="I922" s="96"/>
      <c r="J922" s="96"/>
      <c r="K922" s="96"/>
      <c r="L922" s="61"/>
      <c r="M922" s="6"/>
      <c r="N922" s="6"/>
      <c r="O922" s="8"/>
      <c r="P922" s="8"/>
      <c r="Q922" s="8"/>
      <c r="R922" s="8"/>
      <c r="S922" s="20"/>
      <c r="T922" s="6"/>
      <c r="U922" s="20"/>
      <c r="V922" s="43"/>
    </row>
    <row r="923" spans="1:22" s="53" customFormat="1" x14ac:dyDescent="0.35">
      <c r="A923" s="2"/>
      <c r="B923" s="3"/>
      <c r="C923" s="3"/>
      <c r="D923" s="3"/>
      <c r="E923" s="97"/>
      <c r="F923" s="97"/>
      <c r="G923" s="97"/>
      <c r="H923" s="98"/>
      <c r="I923" s="96"/>
      <c r="J923" s="96"/>
      <c r="K923" s="96"/>
      <c r="L923" s="61"/>
      <c r="M923" s="6"/>
      <c r="N923" s="6"/>
      <c r="O923" s="8"/>
      <c r="P923" s="8"/>
      <c r="Q923" s="8"/>
      <c r="R923" s="8"/>
      <c r="S923" s="20"/>
      <c r="T923" s="6"/>
      <c r="U923" s="20"/>
      <c r="V923" s="43"/>
    </row>
    <row r="924" spans="1:22" s="53" customFormat="1" x14ac:dyDescent="0.35">
      <c r="A924" s="2"/>
      <c r="B924" s="3"/>
      <c r="C924" s="3"/>
      <c r="D924" s="3"/>
      <c r="E924" s="97"/>
      <c r="F924" s="97"/>
      <c r="G924" s="97"/>
      <c r="H924" s="98"/>
      <c r="I924" s="96"/>
      <c r="J924" s="96"/>
      <c r="K924" s="96"/>
      <c r="L924" s="61"/>
      <c r="M924" s="6"/>
      <c r="N924" s="6"/>
      <c r="O924" s="8"/>
      <c r="P924" s="8"/>
      <c r="Q924" s="8"/>
      <c r="R924" s="8"/>
      <c r="S924" s="20"/>
      <c r="T924" s="6"/>
      <c r="U924" s="20"/>
      <c r="V924" s="43"/>
    </row>
    <row r="925" spans="1:22" s="53" customFormat="1" x14ac:dyDescent="0.35">
      <c r="A925" s="2"/>
      <c r="B925" s="3"/>
      <c r="C925" s="3"/>
      <c r="D925" s="3"/>
      <c r="E925" s="97"/>
      <c r="F925" s="97"/>
      <c r="G925" s="97"/>
      <c r="H925" s="98"/>
      <c r="I925" s="96"/>
      <c r="J925" s="96"/>
      <c r="K925" s="96"/>
      <c r="L925" s="61"/>
      <c r="M925" s="6"/>
      <c r="N925" s="6"/>
      <c r="O925" s="8"/>
      <c r="P925" s="8"/>
      <c r="Q925" s="8"/>
      <c r="R925" s="8"/>
      <c r="S925" s="20"/>
      <c r="T925" s="6"/>
      <c r="U925" s="20"/>
      <c r="V925" s="43"/>
    </row>
    <row r="926" spans="1:22" s="53" customFormat="1" x14ac:dyDescent="0.35">
      <c r="A926" s="2"/>
      <c r="B926" s="3"/>
      <c r="C926" s="3"/>
      <c r="D926" s="3"/>
      <c r="E926" s="97"/>
      <c r="F926" s="97"/>
      <c r="G926" s="97"/>
      <c r="H926" s="98"/>
      <c r="I926" s="96"/>
      <c r="J926" s="96"/>
      <c r="K926" s="96"/>
      <c r="L926" s="61"/>
      <c r="M926" s="6"/>
      <c r="N926" s="6"/>
      <c r="O926" s="8"/>
      <c r="P926" s="8"/>
      <c r="Q926" s="8"/>
      <c r="R926" s="8"/>
      <c r="S926" s="20"/>
      <c r="T926" s="6"/>
      <c r="U926" s="20"/>
      <c r="V926" s="43"/>
    </row>
    <row r="927" spans="1:22" s="53" customFormat="1" x14ac:dyDescent="0.35">
      <c r="A927" s="2"/>
      <c r="B927" s="3"/>
      <c r="C927" s="3"/>
      <c r="D927" s="3"/>
      <c r="E927" s="97"/>
      <c r="F927" s="97"/>
      <c r="G927" s="97"/>
      <c r="H927" s="98"/>
      <c r="I927" s="96"/>
      <c r="J927" s="96"/>
      <c r="K927" s="96"/>
      <c r="L927" s="61"/>
      <c r="M927" s="6"/>
      <c r="N927" s="6"/>
      <c r="O927" s="8"/>
      <c r="P927" s="8"/>
      <c r="Q927" s="8"/>
      <c r="R927" s="8"/>
      <c r="S927" s="20"/>
      <c r="T927" s="6"/>
      <c r="U927" s="20"/>
      <c r="V927" s="43"/>
    </row>
    <row r="928" spans="1:22" s="53" customFormat="1" x14ac:dyDescent="0.35">
      <c r="A928" s="2"/>
      <c r="B928" s="3"/>
      <c r="C928" s="3"/>
      <c r="D928" s="3"/>
      <c r="E928" s="97"/>
      <c r="F928" s="97"/>
      <c r="G928" s="97"/>
      <c r="H928" s="98"/>
      <c r="I928" s="96"/>
      <c r="J928" s="96"/>
      <c r="K928" s="96"/>
      <c r="L928" s="61"/>
      <c r="M928" s="6"/>
      <c r="N928" s="6"/>
      <c r="O928" s="8"/>
      <c r="P928" s="8"/>
      <c r="Q928" s="8"/>
      <c r="R928" s="8"/>
      <c r="S928" s="20"/>
      <c r="T928" s="6"/>
      <c r="U928" s="20"/>
      <c r="V928" s="43"/>
    </row>
    <row r="929" spans="1:22" s="53" customFormat="1" x14ac:dyDescent="0.35">
      <c r="A929" s="2"/>
      <c r="B929" s="3"/>
      <c r="C929" s="3"/>
      <c r="D929" s="3"/>
      <c r="E929" s="97"/>
      <c r="F929" s="97"/>
      <c r="G929" s="97"/>
      <c r="H929" s="98"/>
      <c r="I929" s="96"/>
      <c r="J929" s="96"/>
      <c r="K929" s="96"/>
      <c r="L929" s="61"/>
      <c r="M929" s="6"/>
      <c r="N929" s="6"/>
      <c r="O929" s="8"/>
      <c r="P929" s="8"/>
      <c r="Q929" s="8"/>
      <c r="R929" s="8"/>
      <c r="S929" s="20"/>
      <c r="T929" s="6"/>
      <c r="U929" s="20"/>
      <c r="V929" s="43"/>
    </row>
    <row r="930" spans="1:22" s="53" customFormat="1" x14ac:dyDescent="0.35">
      <c r="A930" s="2"/>
      <c r="B930" s="3"/>
      <c r="C930" s="3"/>
      <c r="D930" s="3"/>
      <c r="E930" s="97"/>
      <c r="F930" s="97"/>
      <c r="G930" s="97"/>
      <c r="H930" s="98"/>
      <c r="I930" s="96"/>
      <c r="J930" s="96"/>
      <c r="K930" s="96"/>
      <c r="L930" s="61"/>
      <c r="M930" s="6"/>
      <c r="N930" s="6"/>
      <c r="O930" s="8"/>
      <c r="P930" s="8"/>
      <c r="Q930" s="8"/>
      <c r="R930" s="8"/>
      <c r="S930" s="20"/>
      <c r="T930" s="6"/>
      <c r="U930" s="20"/>
      <c r="V930" s="12"/>
    </row>
    <row r="931" spans="1:22" s="53" customFormat="1" x14ac:dyDescent="0.35">
      <c r="A931" s="2"/>
      <c r="B931" s="3"/>
      <c r="C931" s="3"/>
      <c r="D931" s="3"/>
      <c r="E931" s="97"/>
      <c r="F931" s="97"/>
      <c r="G931" s="97"/>
      <c r="H931" s="98"/>
      <c r="I931" s="96"/>
      <c r="J931" s="96"/>
      <c r="K931" s="96"/>
      <c r="L931" s="61"/>
      <c r="M931" s="6"/>
      <c r="N931" s="6"/>
      <c r="O931" s="8"/>
      <c r="P931" s="8"/>
      <c r="Q931" s="8"/>
      <c r="R931" s="8"/>
      <c r="S931" s="20"/>
      <c r="T931" s="6"/>
      <c r="U931" s="20"/>
      <c r="V931" s="43"/>
    </row>
    <row r="932" spans="1:22" s="53" customFormat="1" x14ac:dyDescent="0.35">
      <c r="A932" s="2"/>
      <c r="B932" s="3"/>
      <c r="C932" s="3"/>
      <c r="D932" s="3"/>
      <c r="E932" s="97"/>
      <c r="F932" s="97"/>
      <c r="G932" s="97"/>
      <c r="H932" s="98"/>
      <c r="I932" s="96"/>
      <c r="J932" s="96"/>
      <c r="K932" s="96"/>
      <c r="L932" s="61"/>
      <c r="M932" s="6"/>
      <c r="N932" s="6"/>
      <c r="O932" s="8"/>
      <c r="P932" s="8"/>
      <c r="Q932" s="8"/>
      <c r="R932" s="8"/>
      <c r="S932" s="20"/>
      <c r="T932" s="6"/>
      <c r="U932" s="20"/>
      <c r="V932" s="43"/>
    </row>
    <row r="933" spans="1:22" s="53" customFormat="1" x14ac:dyDescent="0.35">
      <c r="A933" s="2"/>
      <c r="B933" s="3"/>
      <c r="C933" s="3"/>
      <c r="D933" s="3"/>
      <c r="E933" s="97"/>
      <c r="F933" s="97"/>
      <c r="G933" s="97"/>
      <c r="H933" s="98"/>
      <c r="I933" s="96"/>
      <c r="J933" s="96"/>
      <c r="K933" s="96"/>
      <c r="L933" s="61"/>
      <c r="M933" s="6"/>
      <c r="N933" s="6"/>
      <c r="O933" s="8"/>
      <c r="P933" s="8"/>
      <c r="Q933" s="8"/>
      <c r="R933" s="8"/>
      <c r="S933" s="20"/>
      <c r="T933" s="6"/>
      <c r="U933" s="20"/>
      <c r="V933" s="12"/>
    </row>
    <row r="934" spans="1:22" s="53" customFormat="1" x14ac:dyDescent="0.35">
      <c r="A934" s="2"/>
      <c r="B934" s="3"/>
      <c r="C934" s="3"/>
      <c r="D934" s="3"/>
      <c r="E934" s="97"/>
      <c r="F934" s="97"/>
      <c r="G934" s="97"/>
      <c r="H934" s="98"/>
      <c r="I934" s="96"/>
      <c r="J934" s="96"/>
      <c r="K934" s="96"/>
      <c r="L934" s="61"/>
      <c r="M934" s="6"/>
      <c r="N934" s="6"/>
      <c r="O934" s="8"/>
      <c r="P934" s="8"/>
      <c r="Q934" s="8"/>
      <c r="R934" s="8"/>
      <c r="S934" s="20"/>
      <c r="T934" s="6"/>
      <c r="U934" s="20"/>
      <c r="V934" s="12"/>
    </row>
    <row r="935" spans="1:22" s="53" customFormat="1" x14ac:dyDescent="0.35">
      <c r="A935" s="2"/>
      <c r="B935" s="3"/>
      <c r="C935" s="3"/>
      <c r="D935" s="3"/>
      <c r="E935" s="97"/>
      <c r="F935" s="97"/>
      <c r="G935" s="97"/>
      <c r="H935" s="98"/>
      <c r="I935" s="96"/>
      <c r="J935" s="96"/>
      <c r="K935" s="96"/>
      <c r="L935" s="61"/>
      <c r="M935" s="6"/>
      <c r="N935" s="6"/>
      <c r="O935" s="8"/>
      <c r="P935" s="8"/>
      <c r="Q935" s="8"/>
      <c r="R935" s="8"/>
      <c r="S935" s="20"/>
      <c r="T935" s="6"/>
      <c r="U935" s="20"/>
      <c r="V935" s="43"/>
    </row>
    <row r="936" spans="1:22" s="53" customFormat="1" x14ac:dyDescent="0.35">
      <c r="A936" s="2"/>
      <c r="B936" s="3"/>
      <c r="C936" s="3"/>
      <c r="D936" s="3"/>
      <c r="E936" s="97"/>
      <c r="F936" s="97"/>
      <c r="G936" s="97"/>
      <c r="H936" s="98"/>
      <c r="I936" s="96"/>
      <c r="J936" s="96"/>
      <c r="K936" s="96"/>
      <c r="L936" s="61"/>
      <c r="M936" s="6"/>
      <c r="N936" s="6"/>
      <c r="O936" s="8"/>
      <c r="P936" s="8"/>
      <c r="Q936" s="8"/>
      <c r="R936" s="8"/>
      <c r="S936" s="20"/>
      <c r="T936" s="6"/>
      <c r="U936" s="20"/>
      <c r="V936" s="43"/>
    </row>
    <row r="937" spans="1:22" s="53" customFormat="1" x14ac:dyDescent="0.35">
      <c r="A937" s="2"/>
      <c r="B937" s="3"/>
      <c r="C937" s="3"/>
      <c r="D937" s="3"/>
      <c r="E937" s="97"/>
      <c r="F937" s="97"/>
      <c r="G937" s="97"/>
      <c r="H937" s="98"/>
      <c r="I937" s="96"/>
      <c r="J937" s="96"/>
      <c r="K937" s="96"/>
      <c r="L937" s="61"/>
      <c r="M937" s="6"/>
      <c r="N937" s="6"/>
      <c r="O937" s="8"/>
      <c r="P937" s="8"/>
      <c r="Q937" s="8"/>
      <c r="R937" s="8"/>
      <c r="S937" s="20"/>
      <c r="T937" s="6"/>
      <c r="U937" s="20"/>
      <c r="V937" s="43"/>
    </row>
    <row r="938" spans="1:22" s="53" customFormat="1" x14ac:dyDescent="0.35">
      <c r="A938" s="2"/>
      <c r="B938" s="3"/>
      <c r="C938" s="3"/>
      <c r="D938" s="3"/>
      <c r="E938" s="97"/>
      <c r="F938" s="97"/>
      <c r="G938" s="97"/>
      <c r="H938" s="98"/>
      <c r="I938" s="96"/>
      <c r="J938" s="96"/>
      <c r="K938" s="96"/>
      <c r="L938" s="61"/>
      <c r="M938" s="6"/>
      <c r="N938" s="6"/>
      <c r="O938" s="8"/>
      <c r="P938" s="8"/>
      <c r="Q938" s="8"/>
      <c r="R938" s="8"/>
      <c r="S938" s="20"/>
      <c r="T938" s="6"/>
      <c r="U938" s="20"/>
      <c r="V938" s="43"/>
    </row>
    <row r="939" spans="1:22" s="53" customFormat="1" x14ac:dyDescent="0.35">
      <c r="A939" s="2"/>
      <c r="B939" s="3"/>
      <c r="C939" s="3"/>
      <c r="D939" s="3"/>
      <c r="E939" s="97"/>
      <c r="F939" s="97"/>
      <c r="G939" s="97"/>
      <c r="H939" s="98"/>
      <c r="I939" s="96"/>
      <c r="J939" s="96"/>
      <c r="K939" s="96"/>
      <c r="L939" s="61"/>
      <c r="M939" s="6"/>
      <c r="N939" s="6"/>
      <c r="O939" s="8"/>
      <c r="P939" s="8"/>
      <c r="Q939" s="8"/>
      <c r="R939" s="8"/>
      <c r="S939" s="20"/>
      <c r="T939" s="6"/>
      <c r="U939" s="20"/>
      <c r="V939" s="12"/>
    </row>
    <row r="940" spans="1:22" s="53" customFormat="1" x14ac:dyDescent="0.35">
      <c r="A940" s="2"/>
      <c r="B940" s="3"/>
      <c r="C940" s="3"/>
      <c r="D940" s="3"/>
      <c r="E940" s="97"/>
      <c r="F940" s="97"/>
      <c r="G940" s="97"/>
      <c r="H940" s="98"/>
      <c r="I940" s="96"/>
      <c r="J940" s="96"/>
      <c r="K940" s="96"/>
      <c r="L940" s="61"/>
      <c r="M940" s="6"/>
      <c r="N940" s="6"/>
      <c r="O940" s="8"/>
      <c r="P940" s="8"/>
      <c r="Q940" s="8"/>
      <c r="R940" s="8"/>
      <c r="S940" s="20"/>
      <c r="T940" s="6"/>
      <c r="U940" s="20"/>
      <c r="V940" s="12"/>
    </row>
    <row r="941" spans="1:22" s="53" customFormat="1" x14ac:dyDescent="0.35">
      <c r="A941" s="2"/>
      <c r="B941" s="3"/>
      <c r="C941" s="3"/>
      <c r="D941" s="3"/>
      <c r="E941" s="97"/>
      <c r="F941" s="97"/>
      <c r="G941" s="97"/>
      <c r="H941" s="98"/>
      <c r="I941" s="96"/>
      <c r="J941" s="96"/>
      <c r="K941" s="96"/>
      <c r="L941" s="61"/>
      <c r="M941" s="6"/>
      <c r="N941" s="6"/>
      <c r="O941" s="8"/>
      <c r="P941" s="8"/>
      <c r="Q941" s="8"/>
      <c r="R941" s="8"/>
      <c r="S941" s="20"/>
      <c r="T941" s="6"/>
      <c r="U941" s="20"/>
      <c r="V941" s="12"/>
    </row>
    <row r="942" spans="1:22" s="53" customFormat="1" x14ac:dyDescent="0.35">
      <c r="A942" s="2"/>
      <c r="B942" s="3"/>
      <c r="C942" s="3"/>
      <c r="D942" s="3"/>
      <c r="E942" s="97"/>
      <c r="F942" s="97"/>
      <c r="G942" s="97"/>
      <c r="H942" s="98"/>
      <c r="I942" s="96"/>
      <c r="J942" s="96"/>
      <c r="K942" s="96"/>
      <c r="L942" s="61"/>
      <c r="M942" s="6"/>
      <c r="N942" s="6"/>
      <c r="O942" s="8"/>
      <c r="P942" s="8"/>
      <c r="Q942" s="8"/>
      <c r="R942" s="8"/>
      <c r="S942" s="20"/>
      <c r="T942" s="6"/>
      <c r="U942" s="20"/>
      <c r="V942" s="12"/>
    </row>
    <row r="943" spans="1:22" s="53" customFormat="1" x14ac:dyDescent="0.35">
      <c r="A943" s="2"/>
      <c r="B943" s="3"/>
      <c r="C943" s="3"/>
      <c r="D943" s="3"/>
      <c r="E943" s="97"/>
      <c r="F943" s="97"/>
      <c r="G943" s="97"/>
      <c r="H943" s="98"/>
      <c r="I943" s="96"/>
      <c r="J943" s="96"/>
      <c r="K943" s="96"/>
      <c r="L943" s="61"/>
      <c r="M943" s="6"/>
      <c r="N943" s="6"/>
      <c r="O943" s="8"/>
      <c r="P943" s="8"/>
      <c r="Q943" s="8"/>
      <c r="R943" s="8"/>
      <c r="S943" s="20"/>
      <c r="T943" s="6"/>
      <c r="U943" s="20"/>
      <c r="V943" s="12"/>
    </row>
    <row r="944" spans="1:22" s="53" customFormat="1" x14ac:dyDescent="0.35">
      <c r="A944" s="2"/>
      <c r="B944" s="3"/>
      <c r="C944" s="3"/>
      <c r="D944" s="3"/>
      <c r="E944" s="97"/>
      <c r="F944" s="97"/>
      <c r="G944" s="97"/>
      <c r="H944" s="98"/>
      <c r="I944" s="96"/>
      <c r="J944" s="96"/>
      <c r="K944" s="96"/>
      <c r="L944" s="61"/>
      <c r="M944" s="6"/>
      <c r="N944" s="6"/>
      <c r="O944" s="8"/>
      <c r="P944" s="8"/>
      <c r="Q944" s="8"/>
      <c r="R944" s="8"/>
      <c r="S944" s="20"/>
      <c r="T944" s="6"/>
      <c r="U944" s="20"/>
      <c r="V944" s="12"/>
    </row>
    <row r="945" spans="1:22" s="53" customFormat="1" x14ac:dyDescent="0.35">
      <c r="A945" s="2"/>
      <c r="B945" s="3"/>
      <c r="C945" s="3"/>
      <c r="D945" s="3"/>
      <c r="E945" s="97"/>
      <c r="F945" s="97"/>
      <c r="G945" s="97"/>
      <c r="H945" s="98"/>
      <c r="I945" s="96"/>
      <c r="J945" s="96"/>
      <c r="K945" s="96"/>
      <c r="L945" s="61"/>
      <c r="M945"/>
      <c r="N945" s="6"/>
      <c r="O945" s="8"/>
      <c r="P945" s="8"/>
      <c r="Q945" s="8"/>
      <c r="R945" s="8"/>
      <c r="S945" s="20"/>
      <c r="T945" s="6"/>
      <c r="U945" s="20"/>
      <c r="V945" s="43"/>
    </row>
    <row r="946" spans="1:22" s="53" customFormat="1" x14ac:dyDescent="0.35">
      <c r="A946" s="2"/>
      <c r="B946" s="3"/>
      <c r="C946" s="3"/>
      <c r="D946" s="3"/>
      <c r="E946" s="97"/>
      <c r="F946" s="97"/>
      <c r="G946" s="97"/>
      <c r="H946" s="98"/>
      <c r="I946" s="96"/>
      <c r="J946" s="96"/>
      <c r="K946" s="96"/>
      <c r="L946" s="61"/>
      <c r="M946"/>
      <c r="N946" s="6"/>
      <c r="O946" s="8"/>
      <c r="P946" s="8"/>
      <c r="Q946" s="8"/>
      <c r="R946" s="8"/>
      <c r="S946" s="20"/>
      <c r="T946" s="6"/>
      <c r="U946" s="20"/>
      <c r="V946" s="43"/>
    </row>
    <row r="947" spans="1:22" s="53" customFormat="1" x14ac:dyDescent="0.35">
      <c r="A947" s="2"/>
      <c r="B947" s="3"/>
      <c r="C947" s="3"/>
      <c r="D947" s="3"/>
      <c r="E947" s="97"/>
      <c r="F947" s="97"/>
      <c r="G947" s="97"/>
      <c r="H947" s="98"/>
      <c r="I947" s="96"/>
      <c r="J947" s="96"/>
      <c r="K947" s="96"/>
      <c r="L947" s="61"/>
      <c r="M947"/>
      <c r="N947" s="6"/>
      <c r="O947" s="8"/>
      <c r="P947" s="8"/>
      <c r="Q947" s="8"/>
      <c r="R947" s="8"/>
      <c r="S947" s="20"/>
      <c r="T947" s="6"/>
      <c r="U947" s="20"/>
      <c r="V947" s="43"/>
    </row>
    <row r="948" spans="1:22" s="53" customFormat="1" x14ac:dyDescent="0.35">
      <c r="A948" s="2"/>
      <c r="B948" s="3"/>
      <c r="C948" s="3"/>
      <c r="D948" s="3"/>
      <c r="E948" s="97"/>
      <c r="F948" s="97"/>
      <c r="G948" s="97"/>
      <c r="H948" s="98"/>
      <c r="I948" s="96"/>
      <c r="J948" s="96"/>
      <c r="K948" s="96"/>
      <c r="L948" s="61"/>
      <c r="M948"/>
      <c r="N948" s="6"/>
      <c r="O948" s="8"/>
      <c r="P948" s="8"/>
      <c r="Q948" s="8"/>
      <c r="R948" s="8"/>
      <c r="S948" s="20"/>
      <c r="T948" s="6"/>
      <c r="U948" s="20"/>
      <c r="V948" s="43"/>
    </row>
    <row r="949" spans="1:22" s="53" customFormat="1" x14ac:dyDescent="0.35">
      <c r="A949" s="2"/>
      <c r="B949" s="3"/>
      <c r="C949" s="3"/>
      <c r="D949" s="3"/>
      <c r="E949" s="97"/>
      <c r="F949" s="97"/>
      <c r="G949" s="97"/>
      <c r="H949" s="98"/>
      <c r="I949" s="96"/>
      <c r="J949" s="96"/>
      <c r="K949" s="96"/>
      <c r="L949" s="61"/>
      <c r="M949"/>
      <c r="N949" s="6"/>
      <c r="O949" s="8"/>
      <c r="P949" s="8"/>
      <c r="Q949" s="8"/>
      <c r="R949" s="8"/>
      <c r="S949" s="20"/>
      <c r="T949" s="6"/>
      <c r="U949" s="20"/>
      <c r="V949" s="43"/>
    </row>
    <row r="950" spans="1:22" s="53" customFormat="1" x14ac:dyDescent="0.35">
      <c r="A950" s="2"/>
      <c r="B950" s="3"/>
      <c r="C950" s="3"/>
      <c r="D950" s="3"/>
      <c r="E950" s="97"/>
      <c r="F950" s="97"/>
      <c r="G950" s="97"/>
      <c r="H950" s="98"/>
      <c r="I950" s="96"/>
      <c r="J950" s="96"/>
      <c r="K950" s="96"/>
      <c r="L950" s="61"/>
      <c r="M950"/>
      <c r="N950" s="6"/>
      <c r="O950" s="8"/>
      <c r="P950" s="8"/>
      <c r="Q950" s="8"/>
      <c r="R950" s="8"/>
      <c r="S950" s="20"/>
      <c r="T950" s="6"/>
      <c r="U950" s="20"/>
      <c r="V950" s="43"/>
    </row>
    <row r="951" spans="1:22" s="53" customFormat="1" x14ac:dyDescent="0.35">
      <c r="A951" s="2"/>
      <c r="B951" s="3"/>
      <c r="C951" s="3"/>
      <c r="D951" s="3"/>
      <c r="E951" s="97"/>
      <c r="F951" s="97"/>
      <c r="G951" s="97"/>
      <c r="H951" s="98"/>
      <c r="I951" s="96"/>
      <c r="J951" s="96"/>
      <c r="K951" s="96"/>
      <c r="L951" s="61"/>
      <c r="M951"/>
      <c r="N951" s="6"/>
      <c r="O951" s="8"/>
      <c r="P951" s="8"/>
      <c r="Q951" s="8"/>
      <c r="R951" s="8"/>
      <c r="S951" s="20"/>
      <c r="T951" s="6"/>
      <c r="U951" s="20"/>
      <c r="V951" s="43"/>
    </row>
    <row r="952" spans="1:22" s="53" customFormat="1" x14ac:dyDescent="0.35">
      <c r="A952" s="2"/>
      <c r="B952" s="3"/>
      <c r="C952" s="3"/>
      <c r="D952" s="3"/>
      <c r="E952" s="97"/>
      <c r="F952" s="97"/>
      <c r="G952" s="97"/>
      <c r="H952" s="98"/>
      <c r="I952" s="96"/>
      <c r="J952" s="96"/>
      <c r="K952" s="96"/>
      <c r="L952" s="61"/>
      <c r="M952"/>
      <c r="N952" s="6"/>
      <c r="O952" s="8"/>
      <c r="P952" s="8"/>
      <c r="Q952" s="8"/>
      <c r="R952" s="8"/>
      <c r="S952" s="20"/>
      <c r="T952" s="6"/>
      <c r="U952" s="20"/>
      <c r="V952" s="43"/>
    </row>
    <row r="953" spans="1:22" s="53" customFormat="1" x14ac:dyDescent="0.35">
      <c r="A953" s="2"/>
      <c r="B953" s="3"/>
      <c r="C953" s="3"/>
      <c r="D953" s="3"/>
      <c r="E953" s="97"/>
      <c r="F953" s="97"/>
      <c r="G953" s="97"/>
      <c r="H953" s="98"/>
      <c r="I953" s="96"/>
      <c r="J953" s="96"/>
      <c r="K953" s="96"/>
      <c r="L953" s="61"/>
      <c r="M953"/>
      <c r="N953" s="6"/>
      <c r="O953" s="8"/>
      <c r="P953" s="8"/>
      <c r="Q953" s="8"/>
      <c r="R953" s="8"/>
      <c r="S953" s="20"/>
      <c r="T953" s="6"/>
      <c r="U953" s="20"/>
      <c r="V953" s="43"/>
    </row>
    <row r="954" spans="1:22" s="53" customFormat="1" x14ac:dyDescent="0.35">
      <c r="A954" s="2"/>
      <c r="B954" s="3"/>
      <c r="C954" s="3"/>
      <c r="D954" s="3"/>
      <c r="E954" s="97"/>
      <c r="F954" s="97"/>
      <c r="G954" s="97"/>
      <c r="H954" s="98"/>
      <c r="I954" s="96"/>
      <c r="J954" s="96"/>
      <c r="K954" s="96"/>
      <c r="L954" s="61"/>
      <c r="M954"/>
      <c r="N954" s="6"/>
      <c r="O954" s="8"/>
      <c r="P954" s="8"/>
      <c r="Q954" s="8"/>
      <c r="R954" s="8"/>
      <c r="S954" s="20"/>
      <c r="T954" s="6"/>
      <c r="U954" s="20"/>
      <c r="V954" s="43"/>
    </row>
    <row r="955" spans="1:22" s="53" customFormat="1" x14ac:dyDescent="0.35">
      <c r="A955" s="2"/>
      <c r="B955" s="3"/>
      <c r="C955" s="3"/>
      <c r="D955" s="3"/>
      <c r="E955" s="97"/>
      <c r="F955" s="97"/>
      <c r="G955" s="97"/>
      <c r="H955" s="98"/>
      <c r="I955" s="96"/>
      <c r="J955" s="96"/>
      <c r="K955" s="96"/>
      <c r="L955" s="61"/>
      <c r="M955"/>
      <c r="N955" s="6"/>
      <c r="O955" s="8"/>
      <c r="P955" s="8"/>
      <c r="Q955" s="8"/>
      <c r="R955" s="8"/>
      <c r="S955" s="20"/>
      <c r="T955" s="6"/>
      <c r="U955" s="20"/>
      <c r="V955" s="43"/>
    </row>
    <row r="956" spans="1:22" s="53" customFormat="1" x14ac:dyDescent="0.35">
      <c r="A956" s="2"/>
      <c r="B956" s="3"/>
      <c r="C956" s="3"/>
      <c r="D956" s="3"/>
      <c r="E956" s="97"/>
      <c r="F956" s="97"/>
      <c r="G956" s="97"/>
      <c r="H956" s="98"/>
      <c r="I956" s="96"/>
      <c r="J956" s="96"/>
      <c r="K956" s="96"/>
      <c r="L956" s="61"/>
      <c r="M956"/>
      <c r="N956" s="6"/>
      <c r="O956" s="8"/>
      <c r="P956" s="8"/>
      <c r="Q956" s="8"/>
      <c r="R956" s="8"/>
      <c r="S956" s="20"/>
      <c r="T956" s="6"/>
      <c r="U956" s="20"/>
      <c r="V956" s="43"/>
    </row>
    <row r="957" spans="1:22" s="53" customFormat="1" x14ac:dyDescent="0.35">
      <c r="A957" s="2"/>
      <c r="B957" s="3"/>
      <c r="C957" s="3"/>
      <c r="D957" s="3"/>
      <c r="E957" s="97"/>
      <c r="F957" s="97"/>
      <c r="G957" s="97"/>
      <c r="H957" s="98"/>
      <c r="I957" s="96"/>
      <c r="J957" s="96"/>
      <c r="K957" s="96"/>
      <c r="L957" s="61"/>
      <c r="M957"/>
      <c r="N957" s="6"/>
      <c r="O957" s="8"/>
      <c r="P957" s="8"/>
      <c r="Q957" s="8"/>
      <c r="R957" s="8"/>
      <c r="S957" s="20"/>
      <c r="T957" s="6"/>
      <c r="U957" s="20"/>
      <c r="V957" s="43"/>
    </row>
    <row r="958" spans="1:22" s="53" customFormat="1" x14ac:dyDescent="0.35">
      <c r="A958" s="2"/>
      <c r="B958" s="3"/>
      <c r="C958" s="3"/>
      <c r="D958" s="3"/>
      <c r="E958" s="97"/>
      <c r="F958" s="97"/>
      <c r="G958" s="97"/>
      <c r="H958" s="98"/>
      <c r="I958" s="96"/>
      <c r="J958" s="96"/>
      <c r="K958" s="96"/>
      <c r="L958" s="61"/>
      <c r="M958"/>
      <c r="N958" s="6"/>
      <c r="O958" s="8"/>
      <c r="P958" s="8"/>
      <c r="Q958" s="8"/>
      <c r="R958" s="8"/>
      <c r="S958" s="20"/>
      <c r="T958" s="6"/>
      <c r="U958" s="20"/>
      <c r="V958" s="43"/>
    </row>
    <row r="959" spans="1:22" s="53" customFormat="1" x14ac:dyDescent="0.35">
      <c r="A959" s="2"/>
      <c r="B959" s="3"/>
      <c r="C959" s="3"/>
      <c r="D959" s="3"/>
      <c r="E959" s="97"/>
      <c r="F959" s="97"/>
      <c r="G959" s="97"/>
      <c r="H959" s="98"/>
      <c r="I959" s="96"/>
      <c r="J959" s="96"/>
      <c r="K959" s="96"/>
      <c r="L959" s="61"/>
      <c r="M959"/>
      <c r="N959" s="6"/>
      <c r="O959" s="8"/>
      <c r="P959" s="8"/>
      <c r="Q959" s="8"/>
      <c r="R959" s="8"/>
      <c r="S959" s="20"/>
      <c r="T959" s="6"/>
      <c r="U959" s="20"/>
      <c r="V959" s="43"/>
    </row>
    <row r="960" spans="1:22" s="53" customFormat="1" x14ac:dyDescent="0.35">
      <c r="A960" s="2"/>
      <c r="B960" s="3"/>
      <c r="C960" s="3"/>
      <c r="D960" s="3"/>
      <c r="E960" s="97"/>
      <c r="F960" s="97"/>
      <c r="G960" s="97"/>
      <c r="H960" s="98"/>
      <c r="I960" s="96"/>
      <c r="J960" s="96"/>
      <c r="K960" s="96"/>
      <c r="L960" s="61"/>
      <c r="M960"/>
      <c r="N960" s="6"/>
      <c r="O960" s="8"/>
      <c r="P960" s="8"/>
      <c r="Q960" s="8"/>
      <c r="R960" s="8"/>
      <c r="S960" s="20"/>
      <c r="T960" s="6"/>
      <c r="U960" s="20"/>
      <c r="V960" s="43"/>
    </row>
    <row r="961" spans="1:22" s="53" customFormat="1" x14ac:dyDescent="0.35">
      <c r="A961" s="2"/>
      <c r="B961" s="3"/>
      <c r="C961" s="3"/>
      <c r="D961" s="3"/>
      <c r="E961" s="97"/>
      <c r="F961" s="97"/>
      <c r="G961" s="97"/>
      <c r="H961" s="98"/>
      <c r="I961" s="96"/>
      <c r="J961" s="96"/>
      <c r="K961" s="96"/>
      <c r="L961" s="61"/>
      <c r="M961"/>
      <c r="N961" s="6"/>
      <c r="O961" s="8"/>
      <c r="P961" s="8"/>
      <c r="Q961" s="8"/>
      <c r="R961" s="8"/>
      <c r="S961" s="20"/>
      <c r="T961" s="6"/>
      <c r="U961" s="20"/>
      <c r="V961" s="12"/>
    </row>
    <row r="962" spans="1:22" s="53" customFormat="1" x14ac:dyDescent="0.35">
      <c r="A962" s="2"/>
      <c r="B962" s="3"/>
      <c r="C962" s="3"/>
      <c r="D962" s="3"/>
      <c r="E962" s="97"/>
      <c r="F962" s="97"/>
      <c r="G962" s="97"/>
      <c r="H962" s="98"/>
      <c r="I962" s="96"/>
      <c r="J962" s="96"/>
      <c r="K962" s="96"/>
      <c r="L962" s="61"/>
      <c r="M962"/>
      <c r="N962" s="6"/>
      <c r="O962" s="8"/>
      <c r="P962" s="8"/>
      <c r="Q962" s="8"/>
      <c r="R962" s="8"/>
      <c r="S962" s="20"/>
      <c r="T962" s="6"/>
      <c r="U962" s="20"/>
      <c r="V962" s="43"/>
    </row>
    <row r="963" spans="1:22" s="53" customFormat="1" x14ac:dyDescent="0.35">
      <c r="A963" s="2"/>
      <c r="B963" s="3"/>
      <c r="C963" s="3"/>
      <c r="D963" s="3"/>
      <c r="E963" s="97"/>
      <c r="F963" s="97"/>
      <c r="G963" s="97"/>
      <c r="H963" s="98"/>
      <c r="I963" s="96"/>
      <c r="J963" s="96"/>
      <c r="K963" s="96"/>
      <c r="L963" s="61"/>
      <c r="M963"/>
      <c r="N963" s="6"/>
      <c r="O963" s="8"/>
      <c r="P963" s="8"/>
      <c r="Q963" s="8"/>
      <c r="R963" s="8"/>
      <c r="S963" s="20"/>
      <c r="T963" s="6"/>
      <c r="U963" s="20"/>
      <c r="V963" s="43"/>
    </row>
    <row r="964" spans="1:22" s="53" customFormat="1" x14ac:dyDescent="0.35">
      <c r="A964" s="2"/>
      <c r="B964" s="3"/>
      <c r="C964" s="3"/>
      <c r="D964" s="3"/>
      <c r="E964" s="97"/>
      <c r="F964" s="97"/>
      <c r="G964" s="97"/>
      <c r="H964" s="98"/>
      <c r="I964" s="96"/>
      <c r="J964" s="96"/>
      <c r="K964" s="96"/>
      <c r="L964" s="61"/>
      <c r="M964"/>
      <c r="N964" s="6"/>
      <c r="O964" s="8"/>
      <c r="P964" s="8"/>
      <c r="Q964" s="8"/>
      <c r="R964" s="8"/>
      <c r="S964" s="20"/>
      <c r="T964" s="6"/>
      <c r="U964" s="20"/>
      <c r="V964" s="12"/>
    </row>
    <row r="965" spans="1:22" s="53" customFormat="1" x14ac:dyDescent="0.35">
      <c r="A965" s="2"/>
      <c r="B965" s="3"/>
      <c r="C965" s="3"/>
      <c r="D965" s="3"/>
      <c r="E965" s="97"/>
      <c r="F965" s="97"/>
      <c r="G965" s="97"/>
      <c r="H965" s="98"/>
      <c r="I965" s="96"/>
      <c r="J965" s="96"/>
      <c r="K965" s="96"/>
      <c r="L965" s="61"/>
      <c r="M965"/>
      <c r="N965" s="6"/>
      <c r="O965" s="8"/>
      <c r="P965" s="8"/>
      <c r="Q965" s="8"/>
      <c r="R965" s="8"/>
      <c r="S965" s="20"/>
      <c r="T965" s="6"/>
      <c r="U965" s="20"/>
      <c r="V965" s="12"/>
    </row>
    <row r="966" spans="1:22" s="53" customFormat="1" x14ac:dyDescent="0.35">
      <c r="A966" s="2"/>
      <c r="B966" s="3"/>
      <c r="C966" s="3"/>
      <c r="D966" s="3"/>
      <c r="E966" s="97"/>
      <c r="F966" s="97"/>
      <c r="G966" s="97"/>
      <c r="H966" s="98"/>
      <c r="I966" s="96"/>
      <c r="J966" s="96"/>
      <c r="K966" s="96"/>
      <c r="L966" s="61"/>
      <c r="M966"/>
      <c r="N966" s="6"/>
      <c r="O966" s="8"/>
      <c r="P966" s="8"/>
      <c r="Q966" s="8"/>
      <c r="R966" s="8"/>
      <c r="S966" s="20"/>
      <c r="T966" s="6"/>
      <c r="U966" s="20"/>
      <c r="V966" s="43"/>
    </row>
    <row r="967" spans="1:22" s="53" customFormat="1" x14ac:dyDescent="0.35">
      <c r="A967" s="2"/>
      <c r="B967" s="3"/>
      <c r="C967" s="3"/>
      <c r="D967" s="3"/>
      <c r="E967" s="97"/>
      <c r="F967" s="97"/>
      <c r="G967" s="97"/>
      <c r="H967" s="98"/>
      <c r="I967" s="96"/>
      <c r="J967" s="96"/>
      <c r="K967" s="96"/>
      <c r="L967" s="61"/>
      <c r="M967"/>
      <c r="N967" s="6"/>
      <c r="O967" s="8"/>
      <c r="P967" s="8"/>
      <c r="Q967" s="8"/>
      <c r="R967" s="8"/>
      <c r="S967" s="20"/>
      <c r="T967" s="6"/>
      <c r="U967" s="20"/>
      <c r="V967" s="43"/>
    </row>
    <row r="968" spans="1:22" s="53" customFormat="1" x14ac:dyDescent="0.35">
      <c r="A968" s="2"/>
      <c r="B968" s="3"/>
      <c r="C968" s="3"/>
      <c r="D968" s="3"/>
      <c r="E968" s="97"/>
      <c r="F968" s="97"/>
      <c r="G968" s="97"/>
      <c r="H968" s="98"/>
      <c r="I968" s="96"/>
      <c r="J968" s="96"/>
      <c r="K968" s="96"/>
      <c r="L968" s="61"/>
      <c r="M968"/>
      <c r="N968" s="6"/>
      <c r="O968" s="8"/>
      <c r="P968" s="8"/>
      <c r="Q968" s="8"/>
      <c r="R968" s="8"/>
      <c r="S968" s="20"/>
      <c r="T968" s="6"/>
      <c r="U968" s="20"/>
      <c r="V968" s="43"/>
    </row>
    <row r="969" spans="1:22" s="53" customFormat="1" x14ac:dyDescent="0.35">
      <c r="A969" s="2"/>
      <c r="B969" s="3"/>
      <c r="C969" s="3"/>
      <c r="D969" s="3"/>
      <c r="E969" s="97"/>
      <c r="F969" s="97"/>
      <c r="G969" s="97"/>
      <c r="H969" s="98"/>
      <c r="I969" s="96"/>
      <c r="J969" s="96"/>
      <c r="K969" s="96"/>
      <c r="L969" s="61"/>
      <c r="M969"/>
      <c r="N969" s="6"/>
      <c r="O969" s="8"/>
      <c r="P969" s="8"/>
      <c r="Q969" s="8"/>
      <c r="R969" s="8"/>
      <c r="S969" s="20"/>
      <c r="T969" s="6"/>
      <c r="U969" s="20"/>
      <c r="V969" s="43"/>
    </row>
    <row r="970" spans="1:22" s="53" customFormat="1" x14ac:dyDescent="0.35">
      <c r="A970" s="2"/>
      <c r="B970" s="3"/>
      <c r="C970" s="3"/>
      <c r="D970" s="3"/>
      <c r="E970" s="97"/>
      <c r="F970" s="97"/>
      <c r="G970" s="97"/>
      <c r="H970" s="98"/>
      <c r="I970" s="96"/>
      <c r="J970" s="96"/>
      <c r="K970" s="96"/>
      <c r="L970" s="61"/>
      <c r="M970"/>
      <c r="N970" s="6"/>
      <c r="O970" s="8"/>
      <c r="P970" s="8"/>
      <c r="Q970" s="8"/>
      <c r="R970" s="8"/>
      <c r="S970" s="20"/>
      <c r="T970" s="6"/>
      <c r="U970" s="20"/>
      <c r="V970" s="12"/>
    </row>
    <row r="971" spans="1:22" s="53" customFormat="1" x14ac:dyDescent="0.35">
      <c r="A971" s="2"/>
      <c r="B971" s="3"/>
      <c r="C971" s="3"/>
      <c r="D971" s="3"/>
      <c r="E971" s="97"/>
      <c r="F971" s="97"/>
      <c r="G971" s="97"/>
      <c r="H971" s="98"/>
      <c r="I971" s="96"/>
      <c r="J971" s="96"/>
      <c r="K971" s="96"/>
      <c r="L971" s="61"/>
      <c r="M971"/>
      <c r="N971" s="6"/>
      <c r="O971" s="8"/>
      <c r="P971" s="8"/>
      <c r="Q971" s="8"/>
      <c r="R971" s="8"/>
      <c r="S971" s="20"/>
      <c r="T971" s="6"/>
      <c r="U971" s="20"/>
      <c r="V971" s="12"/>
    </row>
    <row r="972" spans="1:22" s="53" customFormat="1" x14ac:dyDescent="0.35">
      <c r="A972" s="2"/>
      <c r="B972" s="3"/>
      <c r="C972" s="3"/>
      <c r="D972" s="3"/>
      <c r="E972" s="97"/>
      <c r="F972" s="97"/>
      <c r="G972" s="97"/>
      <c r="H972" s="98"/>
      <c r="I972" s="96"/>
      <c r="J972" s="96"/>
      <c r="K972" s="96"/>
      <c r="L972" s="61"/>
      <c r="M972"/>
      <c r="N972" s="6"/>
      <c r="O972" s="8"/>
      <c r="P972" s="8"/>
      <c r="Q972" s="8"/>
      <c r="R972" s="8"/>
      <c r="S972" s="20"/>
      <c r="T972" s="6"/>
      <c r="U972" s="20"/>
      <c r="V972" s="12"/>
    </row>
    <row r="973" spans="1:22" s="53" customFormat="1" x14ac:dyDescent="0.35">
      <c r="A973" s="2"/>
      <c r="B973" s="3"/>
      <c r="C973" s="3"/>
      <c r="D973" s="3"/>
      <c r="E973" s="97"/>
      <c r="F973" s="97"/>
      <c r="G973" s="97"/>
      <c r="H973" s="98"/>
      <c r="I973" s="96"/>
      <c r="J973" s="96"/>
      <c r="K973" s="96"/>
      <c r="L973" s="61"/>
      <c r="M973"/>
      <c r="N973" s="6"/>
      <c r="O973" s="8"/>
      <c r="P973" s="8"/>
      <c r="Q973" s="8"/>
      <c r="R973" s="8"/>
      <c r="S973" s="20"/>
      <c r="T973" s="6"/>
      <c r="U973" s="20"/>
      <c r="V973" s="12"/>
    </row>
    <row r="974" spans="1:22" s="53" customFormat="1" x14ac:dyDescent="0.35">
      <c r="A974" s="2"/>
      <c r="B974" s="3"/>
      <c r="C974" s="3"/>
      <c r="D974" s="3"/>
      <c r="E974" s="97"/>
      <c r="F974" s="97"/>
      <c r="G974" s="97"/>
      <c r="H974" s="98"/>
      <c r="I974" s="96"/>
      <c r="J974" s="96"/>
      <c r="K974" s="96"/>
      <c r="L974" s="61"/>
      <c r="M974"/>
      <c r="N974" s="6"/>
      <c r="O974" s="8"/>
      <c r="P974" s="8"/>
      <c r="Q974" s="8"/>
      <c r="R974" s="8"/>
      <c r="S974" s="20"/>
      <c r="T974" s="6"/>
      <c r="U974" s="20"/>
      <c r="V974" s="12"/>
    </row>
    <row r="975" spans="1:22" s="53" customFormat="1" x14ac:dyDescent="0.35">
      <c r="A975" s="2"/>
      <c r="B975" s="3"/>
      <c r="C975" s="3"/>
      <c r="D975" s="3"/>
      <c r="E975" s="59"/>
      <c r="F975" s="59"/>
      <c r="G975" s="59"/>
      <c r="H975" s="34"/>
      <c r="I975" s="59"/>
      <c r="J975" s="59"/>
      <c r="K975" s="60"/>
      <c r="L975" s="57"/>
      <c r="M975"/>
      <c r="N975" s="6"/>
      <c r="O975" s="8"/>
      <c r="P975" s="8"/>
      <c r="Q975" s="8"/>
      <c r="R975" s="8"/>
      <c r="S975" s="20"/>
      <c r="T975" s="6"/>
      <c r="U975" s="20"/>
      <c r="V975" s="43"/>
    </row>
    <row r="976" spans="1:22" s="53" customFormat="1" x14ac:dyDescent="0.35">
      <c r="A976" s="2"/>
      <c r="B976" s="3"/>
      <c r="C976" s="3"/>
      <c r="D976" s="3"/>
      <c r="E976" s="59"/>
      <c r="F976" s="59"/>
      <c r="G976" s="59"/>
      <c r="H976" s="34"/>
      <c r="I976" s="59"/>
      <c r="J976" s="59"/>
      <c r="K976" s="60"/>
      <c r="L976" s="57"/>
      <c r="M976"/>
      <c r="N976" s="6"/>
      <c r="O976" s="8"/>
      <c r="P976" s="8"/>
      <c r="Q976" s="8"/>
      <c r="R976" s="8"/>
      <c r="S976" s="20"/>
      <c r="T976" s="6"/>
      <c r="U976" s="20"/>
      <c r="V976" s="43"/>
    </row>
    <row r="977" spans="1:22" s="53" customFormat="1" x14ac:dyDescent="0.35">
      <c r="A977" s="2"/>
      <c r="B977" s="3"/>
      <c r="C977" s="3"/>
      <c r="D977" s="3"/>
      <c r="E977" s="59"/>
      <c r="F977" s="59"/>
      <c r="G977" s="59"/>
      <c r="H977" s="34"/>
      <c r="I977" s="59"/>
      <c r="J977" s="59"/>
      <c r="K977" s="60"/>
      <c r="L977" s="57"/>
      <c r="M977"/>
      <c r="N977" s="6"/>
      <c r="O977" s="8"/>
      <c r="P977" s="8"/>
      <c r="Q977" s="8"/>
      <c r="R977" s="8"/>
      <c r="S977" s="20"/>
      <c r="T977" s="6"/>
      <c r="U977" s="20"/>
      <c r="V977" s="43"/>
    </row>
    <row r="978" spans="1:22" s="53" customFormat="1" x14ac:dyDescent="0.35">
      <c r="A978" s="2"/>
      <c r="B978" s="3"/>
      <c r="C978" s="3"/>
      <c r="D978" s="3"/>
      <c r="E978" s="59"/>
      <c r="F978" s="59"/>
      <c r="G978" s="59"/>
      <c r="H978" s="34"/>
      <c r="I978" s="59"/>
      <c r="J978" s="59"/>
      <c r="K978" s="60"/>
      <c r="L978" s="57"/>
      <c r="M978"/>
      <c r="N978" s="6"/>
      <c r="O978" s="8"/>
      <c r="P978" s="8"/>
      <c r="Q978" s="8"/>
      <c r="R978" s="8"/>
      <c r="S978" s="20"/>
      <c r="T978" s="6"/>
      <c r="U978" s="20"/>
      <c r="V978" s="43"/>
    </row>
    <row r="979" spans="1:22" s="53" customFormat="1" x14ac:dyDescent="0.35">
      <c r="A979" s="2"/>
      <c r="B979" s="3"/>
      <c r="C979" s="3"/>
      <c r="D979" s="3"/>
      <c r="E979" s="59"/>
      <c r="F979" s="59"/>
      <c r="G979" s="59"/>
      <c r="H979" s="34"/>
      <c r="I979" s="59"/>
      <c r="J979" s="59"/>
      <c r="K979" s="60"/>
      <c r="L979" s="57"/>
      <c r="M979"/>
      <c r="N979" s="6"/>
      <c r="O979" s="8"/>
      <c r="P979" s="8"/>
      <c r="Q979" s="8"/>
      <c r="R979" s="8"/>
      <c r="S979" s="20"/>
      <c r="T979" s="6"/>
      <c r="U979" s="20"/>
      <c r="V979" s="43"/>
    </row>
    <row r="980" spans="1:22" s="53" customFormat="1" x14ac:dyDescent="0.35">
      <c r="A980" s="2"/>
      <c r="B980" s="3"/>
      <c r="C980" s="3"/>
      <c r="D980" s="3"/>
      <c r="E980" s="59"/>
      <c r="F980" s="59"/>
      <c r="G980" s="59"/>
      <c r="H980" s="34"/>
      <c r="I980" s="59"/>
      <c r="J980" s="59"/>
      <c r="K980" s="60"/>
      <c r="L980" s="57"/>
      <c r="M980"/>
      <c r="N980" s="6"/>
      <c r="O980" s="8"/>
      <c r="P980" s="8"/>
      <c r="Q980" s="8"/>
      <c r="R980" s="8"/>
      <c r="S980" s="20"/>
      <c r="T980" s="6"/>
      <c r="U980" s="20"/>
      <c r="V980" s="43"/>
    </row>
    <row r="981" spans="1:22" s="53" customFormat="1" x14ac:dyDescent="0.35">
      <c r="A981" s="2"/>
      <c r="B981" s="3"/>
      <c r="C981" s="3"/>
      <c r="D981" s="3"/>
      <c r="E981" s="59"/>
      <c r="F981" s="59"/>
      <c r="G981" s="59"/>
      <c r="H981" s="34"/>
      <c r="I981" s="59"/>
      <c r="J981" s="59"/>
      <c r="K981" s="60"/>
      <c r="L981" s="57"/>
      <c r="M981"/>
      <c r="N981" s="6"/>
      <c r="O981" s="8"/>
      <c r="P981" s="8"/>
      <c r="Q981" s="8"/>
      <c r="R981" s="8"/>
      <c r="S981" s="20"/>
      <c r="T981" s="6"/>
      <c r="U981" s="20"/>
      <c r="V981" s="43"/>
    </row>
    <row r="982" spans="1:22" s="53" customFormat="1" x14ac:dyDescent="0.35">
      <c r="A982" s="2"/>
      <c r="B982" s="3"/>
      <c r="C982" s="3"/>
      <c r="D982" s="3"/>
      <c r="E982" s="59"/>
      <c r="F982" s="59"/>
      <c r="G982" s="59"/>
      <c r="H982" s="34"/>
      <c r="I982" s="59"/>
      <c r="J982" s="59"/>
      <c r="K982" s="60"/>
      <c r="L982" s="57"/>
      <c r="M982"/>
      <c r="N982" s="6"/>
      <c r="O982" s="8"/>
      <c r="P982" s="8"/>
      <c r="Q982" s="8"/>
      <c r="R982" s="8"/>
      <c r="S982" s="20"/>
      <c r="T982" s="6"/>
      <c r="U982" s="20"/>
      <c r="V982" s="43"/>
    </row>
    <row r="983" spans="1:22" s="53" customFormat="1" x14ac:dyDescent="0.35">
      <c r="A983" s="2"/>
      <c r="B983" s="3"/>
      <c r="C983" s="3"/>
      <c r="D983" s="3"/>
      <c r="E983" s="59"/>
      <c r="F983" s="59"/>
      <c r="G983" s="59"/>
      <c r="H983" s="34"/>
      <c r="I983" s="59"/>
      <c r="J983" s="59"/>
      <c r="K983" s="60"/>
      <c r="L983" s="57"/>
      <c r="M983"/>
      <c r="N983" s="6"/>
      <c r="O983" s="8"/>
      <c r="P983" s="8"/>
      <c r="Q983" s="8"/>
      <c r="R983" s="8"/>
      <c r="S983" s="20"/>
      <c r="T983" s="6"/>
      <c r="U983" s="20"/>
      <c r="V983" s="43"/>
    </row>
    <row r="984" spans="1:22" s="53" customFormat="1" x14ac:dyDescent="0.35">
      <c r="A984" s="2"/>
      <c r="B984" s="3"/>
      <c r="C984" s="3"/>
      <c r="D984" s="3"/>
      <c r="E984" s="59"/>
      <c r="F984" s="59"/>
      <c r="G984" s="59"/>
      <c r="H984" s="34"/>
      <c r="I984" s="59"/>
      <c r="J984" s="59"/>
      <c r="K984" s="60"/>
      <c r="L984" s="57"/>
      <c r="M984"/>
      <c r="N984" s="6"/>
      <c r="O984" s="8"/>
      <c r="P984" s="8"/>
      <c r="Q984" s="8"/>
      <c r="R984" s="8"/>
      <c r="S984" s="20"/>
      <c r="T984" s="6"/>
      <c r="U984" s="20"/>
      <c r="V984" s="43"/>
    </row>
    <row r="985" spans="1:22" s="53" customFormat="1" x14ac:dyDescent="0.35">
      <c r="A985" s="2"/>
      <c r="B985" s="3"/>
      <c r="C985" s="3"/>
      <c r="D985" s="3"/>
      <c r="E985" s="59"/>
      <c r="F985" s="59"/>
      <c r="G985" s="59"/>
      <c r="H985" s="34"/>
      <c r="I985" s="59"/>
      <c r="J985" s="59"/>
      <c r="K985" s="60"/>
      <c r="L985" s="57"/>
      <c r="M985"/>
      <c r="N985" s="6"/>
      <c r="O985" s="8"/>
      <c r="P985" s="8"/>
      <c r="Q985" s="8"/>
      <c r="R985" s="8"/>
      <c r="S985" s="20"/>
      <c r="T985" s="6"/>
      <c r="U985" s="20"/>
      <c r="V985" s="43"/>
    </row>
    <row r="986" spans="1:22" s="53" customFormat="1" x14ac:dyDescent="0.35">
      <c r="A986" s="2"/>
      <c r="B986" s="3"/>
      <c r="C986" s="3"/>
      <c r="D986" s="3"/>
      <c r="E986" s="59"/>
      <c r="F986" s="59"/>
      <c r="G986" s="59"/>
      <c r="H986" s="34"/>
      <c r="I986" s="59"/>
      <c r="J986" s="59"/>
      <c r="K986" s="60"/>
      <c r="L986" s="57"/>
      <c r="M986"/>
      <c r="N986" s="6"/>
      <c r="O986" s="8"/>
      <c r="P986" s="8"/>
      <c r="Q986" s="8"/>
      <c r="R986" s="8"/>
      <c r="S986" s="20"/>
      <c r="T986" s="6"/>
      <c r="U986" s="20"/>
      <c r="V986" s="43"/>
    </row>
    <row r="987" spans="1:22" s="53" customFormat="1" x14ac:dyDescent="0.35">
      <c r="A987" s="2"/>
      <c r="B987" s="3"/>
      <c r="C987" s="3"/>
      <c r="D987" s="3"/>
      <c r="E987" s="59"/>
      <c r="F987" s="59"/>
      <c r="G987" s="59"/>
      <c r="H987" s="34"/>
      <c r="I987" s="59"/>
      <c r="J987" s="59"/>
      <c r="K987" s="60"/>
      <c r="L987" s="57"/>
      <c r="M987"/>
      <c r="N987" s="6"/>
      <c r="O987" s="8"/>
      <c r="P987" s="8"/>
      <c r="Q987" s="8"/>
      <c r="R987" s="8"/>
      <c r="S987" s="20"/>
      <c r="T987" s="6"/>
      <c r="U987" s="20"/>
      <c r="V987" s="43"/>
    </row>
    <row r="988" spans="1:22" s="53" customFormat="1" x14ac:dyDescent="0.35">
      <c r="A988" s="2"/>
      <c r="B988" s="3"/>
      <c r="C988" s="3"/>
      <c r="D988" s="3"/>
      <c r="E988" s="59"/>
      <c r="F988" s="59"/>
      <c r="G988" s="59"/>
      <c r="H988" s="34"/>
      <c r="I988" s="59"/>
      <c r="J988" s="59"/>
      <c r="K988" s="60"/>
      <c r="L988" s="57"/>
      <c r="M988"/>
      <c r="N988" s="6"/>
      <c r="O988" s="8"/>
      <c r="P988" s="8"/>
      <c r="Q988" s="8"/>
      <c r="R988" s="8"/>
      <c r="S988" s="20"/>
      <c r="T988" s="6"/>
      <c r="U988" s="20"/>
      <c r="V988" s="43"/>
    </row>
    <row r="989" spans="1:22" s="53" customFormat="1" x14ac:dyDescent="0.35">
      <c r="A989" s="2"/>
      <c r="B989" s="3"/>
      <c r="C989" s="3"/>
      <c r="D989" s="3"/>
      <c r="E989" s="59"/>
      <c r="F989" s="59"/>
      <c r="G989" s="59"/>
      <c r="H989" s="34"/>
      <c r="I989" s="59"/>
      <c r="J989" s="59"/>
      <c r="K989" s="60"/>
      <c r="L989" s="57"/>
      <c r="M989"/>
      <c r="N989" s="6"/>
      <c r="O989" s="8"/>
      <c r="P989" s="8"/>
      <c r="Q989" s="8"/>
      <c r="R989" s="8"/>
      <c r="S989" s="20"/>
      <c r="T989" s="6"/>
      <c r="U989" s="20"/>
      <c r="V989" s="43"/>
    </row>
    <row r="990" spans="1:22" s="53" customFormat="1" x14ac:dyDescent="0.35">
      <c r="A990" s="2"/>
      <c r="B990" s="3"/>
      <c r="C990" s="3"/>
      <c r="D990" s="3"/>
      <c r="E990" s="59"/>
      <c r="F990" s="59"/>
      <c r="G990" s="59"/>
      <c r="H990" s="34"/>
      <c r="I990" s="59"/>
      <c r="J990" s="59"/>
      <c r="K990" s="60"/>
      <c r="L990" s="57"/>
      <c r="M990"/>
      <c r="N990" s="6"/>
      <c r="O990" s="8"/>
      <c r="P990" s="8"/>
      <c r="Q990" s="8"/>
      <c r="R990" s="8"/>
      <c r="S990" s="20"/>
      <c r="T990" s="6"/>
      <c r="U990" s="20"/>
      <c r="V990" s="43"/>
    </row>
    <row r="991" spans="1:22" s="53" customFormat="1" x14ac:dyDescent="0.35">
      <c r="A991" s="2"/>
      <c r="B991" s="3"/>
      <c r="C991" s="3"/>
      <c r="D991" s="3"/>
      <c r="E991" s="59"/>
      <c r="F991" s="59"/>
      <c r="G991" s="59"/>
      <c r="H991" s="34"/>
      <c r="I991" s="59"/>
      <c r="J991" s="59"/>
      <c r="K991" s="60"/>
      <c r="L991" s="57"/>
      <c r="M991"/>
      <c r="N991" s="6"/>
      <c r="O991" s="8"/>
      <c r="P991" s="8"/>
      <c r="Q991" s="8"/>
      <c r="R991" s="8"/>
      <c r="S991" s="20"/>
      <c r="T991" s="6"/>
      <c r="U991" s="20"/>
      <c r="V991" s="12"/>
    </row>
    <row r="992" spans="1:22" s="53" customFormat="1" x14ac:dyDescent="0.35">
      <c r="A992" s="2"/>
      <c r="B992" s="3"/>
      <c r="C992" s="3"/>
      <c r="D992" s="3"/>
      <c r="E992" s="59"/>
      <c r="F992" s="59"/>
      <c r="G992" s="59"/>
      <c r="H992" s="34"/>
      <c r="I992" s="59"/>
      <c r="J992" s="59"/>
      <c r="K992" s="60"/>
      <c r="L992" s="57"/>
      <c r="M992"/>
      <c r="N992" s="6"/>
      <c r="O992" s="8"/>
      <c r="P992" s="8"/>
      <c r="Q992" s="8"/>
      <c r="R992" s="8"/>
      <c r="S992" s="20"/>
      <c r="T992" s="6"/>
      <c r="U992" s="20"/>
      <c r="V992" s="43"/>
    </row>
    <row r="993" spans="1:22" s="53" customFormat="1" x14ac:dyDescent="0.35">
      <c r="A993" s="2"/>
      <c r="B993" s="3"/>
      <c r="C993" s="3"/>
      <c r="D993" s="3"/>
      <c r="E993" s="59"/>
      <c r="F993" s="59"/>
      <c r="G993" s="59"/>
      <c r="H993" s="34"/>
      <c r="I993" s="59"/>
      <c r="J993" s="59"/>
      <c r="K993" s="60"/>
      <c r="L993" s="57"/>
      <c r="M993"/>
      <c r="N993" s="6"/>
      <c r="O993" s="8"/>
      <c r="P993" s="8"/>
      <c r="Q993" s="8"/>
      <c r="R993" s="8"/>
      <c r="S993" s="20"/>
      <c r="T993" s="6"/>
      <c r="U993" s="20"/>
      <c r="V993" s="43"/>
    </row>
    <row r="994" spans="1:22" s="53" customFormat="1" x14ac:dyDescent="0.35">
      <c r="A994" s="2"/>
      <c r="B994" s="3"/>
      <c r="C994" s="3"/>
      <c r="D994" s="3"/>
      <c r="E994" s="59"/>
      <c r="F994" s="59"/>
      <c r="G994" s="59"/>
      <c r="H994" s="34"/>
      <c r="I994" s="59"/>
      <c r="J994" s="59"/>
      <c r="K994" s="60"/>
      <c r="L994" s="57"/>
      <c r="M994"/>
      <c r="N994" s="6"/>
      <c r="O994" s="8"/>
      <c r="P994" s="8"/>
      <c r="Q994" s="8"/>
      <c r="R994" s="8"/>
      <c r="S994" s="20"/>
      <c r="T994" s="6"/>
      <c r="U994" s="20"/>
      <c r="V994" s="12"/>
    </row>
    <row r="995" spans="1:22" s="53" customFormat="1" x14ac:dyDescent="0.35">
      <c r="A995" s="2"/>
      <c r="B995" s="3"/>
      <c r="C995" s="3"/>
      <c r="D995" s="3"/>
      <c r="E995" s="59"/>
      <c r="F995" s="59"/>
      <c r="G995" s="59"/>
      <c r="H995" s="34"/>
      <c r="I995" s="59"/>
      <c r="J995" s="59"/>
      <c r="K995" s="60"/>
      <c r="L995" s="57"/>
      <c r="M995"/>
      <c r="N995" s="6"/>
      <c r="O995" s="8"/>
      <c r="P995" s="8"/>
      <c r="Q995" s="8"/>
      <c r="R995" s="8"/>
      <c r="S995" s="20"/>
      <c r="T995" s="6"/>
      <c r="U995" s="20"/>
      <c r="V995" s="12"/>
    </row>
    <row r="996" spans="1:22" s="53" customFormat="1" x14ac:dyDescent="0.35">
      <c r="A996" s="2"/>
      <c r="B996" s="3"/>
      <c r="C996" s="3"/>
      <c r="D996" s="3"/>
      <c r="E996" s="59"/>
      <c r="F996" s="59"/>
      <c r="G996" s="59"/>
      <c r="H996" s="34"/>
      <c r="I996" s="59"/>
      <c r="J996" s="59"/>
      <c r="K996" s="60"/>
      <c r="L996" s="57"/>
      <c r="M996"/>
      <c r="N996" s="6"/>
      <c r="O996" s="8"/>
      <c r="P996" s="8"/>
      <c r="Q996" s="8"/>
      <c r="R996" s="8"/>
      <c r="S996" s="20"/>
      <c r="T996" s="6"/>
      <c r="U996" s="20"/>
      <c r="V996" s="43"/>
    </row>
    <row r="997" spans="1:22" s="53" customFormat="1" x14ac:dyDescent="0.35">
      <c r="A997" s="2"/>
      <c r="B997" s="3"/>
      <c r="C997" s="3"/>
      <c r="D997" s="3"/>
      <c r="E997" s="59"/>
      <c r="F997" s="59"/>
      <c r="G997" s="59"/>
      <c r="H997" s="34"/>
      <c r="I997" s="59"/>
      <c r="J997" s="59"/>
      <c r="K997" s="60"/>
      <c r="L997" s="57"/>
      <c r="M997"/>
      <c r="N997" s="6"/>
      <c r="O997" s="8"/>
      <c r="P997" s="8"/>
      <c r="Q997" s="8"/>
      <c r="R997" s="8"/>
      <c r="S997" s="20"/>
      <c r="T997" s="6"/>
      <c r="U997" s="20"/>
      <c r="V997" s="43"/>
    </row>
    <row r="998" spans="1:22" s="53" customFormat="1" x14ac:dyDescent="0.35">
      <c r="A998" s="2"/>
      <c r="B998" s="3"/>
      <c r="C998" s="3"/>
      <c r="D998" s="3"/>
      <c r="E998" s="59"/>
      <c r="F998" s="59"/>
      <c r="G998" s="59"/>
      <c r="H998" s="34"/>
      <c r="I998" s="59"/>
      <c r="J998" s="59"/>
      <c r="K998" s="60"/>
      <c r="L998" s="57"/>
      <c r="M998"/>
      <c r="N998" s="6"/>
      <c r="O998" s="8"/>
      <c r="P998" s="8"/>
      <c r="Q998" s="8"/>
      <c r="R998" s="8"/>
      <c r="S998" s="20"/>
      <c r="T998" s="6"/>
      <c r="U998" s="20"/>
      <c r="V998" s="43"/>
    </row>
    <row r="999" spans="1:22" s="53" customFormat="1" x14ac:dyDescent="0.35">
      <c r="A999" s="2"/>
      <c r="B999" s="3"/>
      <c r="C999" s="3"/>
      <c r="D999" s="3"/>
      <c r="E999" s="59"/>
      <c r="F999" s="59"/>
      <c r="G999" s="59"/>
      <c r="H999" s="34"/>
      <c r="I999" s="59"/>
      <c r="J999" s="59"/>
      <c r="K999" s="60"/>
      <c r="L999" s="57"/>
      <c r="M999"/>
      <c r="N999" s="6"/>
      <c r="O999" s="8"/>
      <c r="P999" s="8"/>
      <c r="Q999" s="8"/>
      <c r="R999" s="8"/>
      <c r="S999" s="20"/>
      <c r="T999" s="6"/>
      <c r="U999" s="20"/>
      <c r="V999" s="43"/>
    </row>
    <row r="1000" spans="1:22" s="53" customFormat="1" x14ac:dyDescent="0.35">
      <c r="A1000" s="2"/>
      <c r="B1000" s="3"/>
      <c r="C1000" s="3"/>
      <c r="D1000" s="3"/>
      <c r="E1000" s="59"/>
      <c r="F1000" s="59"/>
      <c r="G1000" s="59"/>
      <c r="H1000" s="34"/>
      <c r="I1000" s="59"/>
      <c r="J1000" s="59"/>
      <c r="K1000" s="60"/>
      <c r="L1000" s="57"/>
      <c r="M1000"/>
      <c r="N1000" s="6"/>
      <c r="O1000" s="8"/>
      <c r="P1000" s="8"/>
      <c r="Q1000" s="8"/>
      <c r="R1000" s="8"/>
      <c r="S1000" s="20"/>
      <c r="T1000" s="6"/>
      <c r="U1000" s="20"/>
      <c r="V1000" s="12"/>
    </row>
    <row r="1001" spans="1:22" s="53" customFormat="1" x14ac:dyDescent="0.35">
      <c r="A1001" s="2"/>
      <c r="B1001" s="3"/>
      <c r="C1001" s="3"/>
      <c r="D1001" s="3"/>
      <c r="E1001" s="59"/>
      <c r="F1001" s="59"/>
      <c r="G1001" s="59"/>
      <c r="H1001" s="34"/>
      <c r="I1001" s="59"/>
      <c r="J1001" s="59"/>
      <c r="K1001" s="60"/>
      <c r="L1001" s="57"/>
      <c r="M1001"/>
      <c r="N1001" s="6"/>
      <c r="O1001" s="8"/>
      <c r="P1001" s="8"/>
      <c r="Q1001" s="8"/>
      <c r="R1001" s="8"/>
      <c r="S1001" s="20"/>
      <c r="T1001" s="6"/>
      <c r="U1001" s="20"/>
      <c r="V1001" s="12"/>
    </row>
    <row r="1002" spans="1:22" s="53" customFormat="1" x14ac:dyDescent="0.35">
      <c r="A1002" s="2"/>
      <c r="B1002" s="3"/>
      <c r="C1002" s="3"/>
      <c r="D1002" s="3"/>
      <c r="E1002" s="59"/>
      <c r="F1002" s="59"/>
      <c r="G1002" s="59"/>
      <c r="H1002" s="34"/>
      <c r="I1002" s="59"/>
      <c r="J1002" s="59"/>
      <c r="K1002" s="60"/>
      <c r="L1002" s="57"/>
      <c r="M1002"/>
      <c r="N1002" s="6"/>
      <c r="O1002" s="8"/>
      <c r="P1002" s="8"/>
      <c r="Q1002" s="8"/>
      <c r="R1002" s="8"/>
      <c r="S1002" s="20"/>
      <c r="T1002" s="6"/>
      <c r="U1002" s="20"/>
      <c r="V1002" s="12"/>
    </row>
    <row r="1003" spans="1:22" s="53" customFormat="1" x14ac:dyDescent="0.35">
      <c r="A1003" s="2"/>
      <c r="B1003" s="3"/>
      <c r="C1003" s="3"/>
      <c r="D1003" s="3"/>
      <c r="E1003" s="59"/>
      <c r="F1003" s="59"/>
      <c r="G1003" s="59"/>
      <c r="H1003" s="34"/>
      <c r="I1003" s="59"/>
      <c r="J1003" s="59"/>
      <c r="K1003" s="60"/>
      <c r="L1003" s="57"/>
      <c r="M1003"/>
      <c r="N1003" s="6"/>
      <c r="O1003" s="8"/>
      <c r="P1003" s="8"/>
      <c r="Q1003" s="8"/>
      <c r="R1003" s="8"/>
      <c r="S1003" s="20"/>
      <c r="T1003" s="6"/>
      <c r="U1003" s="20"/>
      <c r="V1003" s="12"/>
    </row>
    <row r="1004" spans="1:22" s="53" customFormat="1" x14ac:dyDescent="0.35">
      <c r="A1004" s="2"/>
      <c r="B1004" s="3"/>
      <c r="C1004" s="3"/>
      <c r="D1004" s="3"/>
      <c r="E1004" s="59"/>
      <c r="F1004" s="59"/>
      <c r="G1004" s="59"/>
      <c r="H1004" s="34"/>
      <c r="I1004" s="59"/>
      <c r="J1004" s="59"/>
      <c r="K1004" s="60"/>
      <c r="L1004" s="57"/>
      <c r="M1004"/>
      <c r="N1004" s="6"/>
      <c r="O1004" s="8"/>
      <c r="P1004" s="8"/>
      <c r="Q1004" s="8"/>
      <c r="R1004" s="8"/>
      <c r="S1004" s="20"/>
      <c r="T1004" s="6"/>
      <c r="U1004" s="20"/>
      <c r="V1004" s="12"/>
    </row>
    <row r="1005" spans="1:22" s="53" customFormat="1" x14ac:dyDescent="0.35">
      <c r="A1005" s="2"/>
      <c r="B1005" s="3"/>
      <c r="C1005" s="3"/>
      <c r="D1005" s="3"/>
      <c r="E1005" s="59"/>
      <c r="F1005" s="59"/>
      <c r="G1005" s="59"/>
      <c r="H1005" s="34"/>
      <c r="I1005" s="59"/>
      <c r="J1005" s="59"/>
      <c r="K1005" s="60"/>
      <c r="L1005" s="57"/>
      <c r="M1005"/>
      <c r="N1005" s="6"/>
      <c r="O1005" s="8"/>
      <c r="P1005" s="8"/>
      <c r="Q1005" s="8"/>
      <c r="R1005" s="8"/>
      <c r="S1005" s="20"/>
      <c r="T1005" s="6"/>
      <c r="U1005" s="20"/>
      <c r="V1005" s="12"/>
    </row>
    <row r="1006" spans="1:22" s="53" customFormat="1" x14ac:dyDescent="0.35">
      <c r="A1006" s="2"/>
      <c r="B1006" s="3"/>
      <c r="C1006" s="3"/>
      <c r="D1006" s="3"/>
      <c r="E1006" s="97"/>
      <c r="F1006" s="97"/>
      <c r="G1006" s="97"/>
      <c r="H1006" s="98"/>
      <c r="I1006" s="96"/>
      <c r="J1006" s="96"/>
      <c r="K1006" s="96"/>
      <c r="L1006" s="61"/>
      <c r="M1006"/>
      <c r="N1006" s="6"/>
      <c r="O1006" s="8"/>
      <c r="P1006" s="8"/>
      <c r="Q1006" s="8"/>
      <c r="R1006" s="8"/>
      <c r="S1006" s="20"/>
      <c r="T1006" s="6"/>
      <c r="U1006" s="20"/>
      <c r="V1006" s="43"/>
    </row>
    <row r="1007" spans="1:22" s="53" customFormat="1" x14ac:dyDescent="0.35">
      <c r="A1007" s="2"/>
      <c r="B1007" s="3"/>
      <c r="C1007" s="3"/>
      <c r="D1007" s="3"/>
      <c r="E1007" s="97"/>
      <c r="F1007" s="97"/>
      <c r="G1007" s="97"/>
      <c r="H1007" s="98"/>
      <c r="I1007" s="96"/>
      <c r="J1007" s="96"/>
      <c r="K1007" s="96"/>
      <c r="L1007" s="61"/>
      <c r="M1007"/>
      <c r="N1007" s="6"/>
      <c r="O1007" s="8"/>
      <c r="P1007" s="8"/>
      <c r="Q1007" s="8"/>
      <c r="R1007" s="8"/>
      <c r="S1007" s="20"/>
      <c r="T1007" s="6"/>
      <c r="U1007" s="20"/>
      <c r="V1007" s="43"/>
    </row>
    <row r="1008" spans="1:22" s="53" customFormat="1" x14ac:dyDescent="0.35">
      <c r="A1008" s="2"/>
      <c r="B1008" s="3"/>
      <c r="C1008" s="3"/>
      <c r="D1008" s="3"/>
      <c r="E1008" s="97"/>
      <c r="F1008" s="97"/>
      <c r="G1008" s="97"/>
      <c r="H1008" s="98"/>
      <c r="I1008" s="96"/>
      <c r="J1008" s="96"/>
      <c r="K1008" s="96"/>
      <c r="L1008" s="61"/>
      <c r="M1008"/>
      <c r="N1008" s="6"/>
      <c r="O1008" s="8"/>
      <c r="P1008" s="8"/>
      <c r="Q1008" s="8"/>
      <c r="R1008" s="8"/>
      <c r="S1008" s="20"/>
      <c r="T1008" s="6"/>
      <c r="U1008" s="20"/>
      <c r="V1008" s="43"/>
    </row>
    <row r="1009" spans="1:22" s="53" customFormat="1" x14ac:dyDescent="0.35">
      <c r="A1009" s="2"/>
      <c r="B1009" s="3"/>
      <c r="C1009" s="3"/>
      <c r="D1009" s="3"/>
      <c r="E1009" s="97"/>
      <c r="F1009" s="97"/>
      <c r="G1009" s="97"/>
      <c r="H1009" s="98"/>
      <c r="I1009" s="96"/>
      <c r="J1009" s="96"/>
      <c r="K1009" s="96"/>
      <c r="L1009" s="61"/>
      <c r="M1009"/>
      <c r="N1009" s="6"/>
      <c r="O1009" s="8"/>
      <c r="P1009" s="8"/>
      <c r="Q1009" s="8"/>
      <c r="R1009" s="8"/>
      <c r="S1009" s="20"/>
      <c r="T1009" s="6"/>
      <c r="U1009" s="20"/>
      <c r="V1009" s="43"/>
    </row>
    <row r="1010" spans="1:22" s="53" customFormat="1" x14ac:dyDescent="0.35">
      <c r="A1010" s="2"/>
      <c r="B1010" s="3"/>
      <c r="C1010" s="3"/>
      <c r="D1010" s="3"/>
      <c r="E1010" s="97"/>
      <c r="F1010" s="97"/>
      <c r="G1010" s="97"/>
      <c r="H1010" s="98"/>
      <c r="I1010" s="96"/>
      <c r="J1010" s="96"/>
      <c r="K1010" s="96"/>
      <c r="L1010" s="61"/>
      <c r="M1010"/>
      <c r="N1010" s="6"/>
      <c r="O1010" s="8"/>
      <c r="P1010" s="8"/>
      <c r="Q1010" s="8"/>
      <c r="R1010" s="8"/>
      <c r="S1010" s="20"/>
      <c r="T1010" s="6"/>
      <c r="U1010" s="20"/>
      <c r="V1010" s="43"/>
    </row>
    <row r="1011" spans="1:22" s="53" customFormat="1" x14ac:dyDescent="0.35">
      <c r="A1011" s="2"/>
      <c r="B1011" s="3"/>
      <c r="C1011" s="3"/>
      <c r="D1011" s="3"/>
      <c r="E1011" s="97"/>
      <c r="F1011" s="97"/>
      <c r="G1011" s="97"/>
      <c r="H1011" s="98"/>
      <c r="I1011" s="96"/>
      <c r="J1011" s="96"/>
      <c r="K1011" s="96"/>
      <c r="L1011" s="61"/>
      <c r="M1011"/>
      <c r="N1011" s="6"/>
      <c r="O1011" s="8"/>
      <c r="P1011" s="8"/>
      <c r="Q1011" s="8"/>
      <c r="R1011" s="8"/>
      <c r="S1011" s="20"/>
      <c r="T1011" s="6"/>
      <c r="U1011" s="20"/>
      <c r="V1011" s="43"/>
    </row>
    <row r="1012" spans="1:22" s="53" customFormat="1" x14ac:dyDescent="0.35">
      <c r="A1012" s="2"/>
      <c r="B1012" s="3"/>
      <c r="C1012" s="3"/>
      <c r="D1012" s="3"/>
      <c r="E1012" s="97"/>
      <c r="F1012" s="97"/>
      <c r="G1012" s="97"/>
      <c r="H1012" s="98"/>
      <c r="I1012" s="96"/>
      <c r="J1012" s="96"/>
      <c r="K1012" s="96"/>
      <c r="L1012" s="61"/>
      <c r="M1012"/>
      <c r="N1012" s="6"/>
      <c r="O1012" s="8"/>
      <c r="P1012" s="8"/>
      <c r="Q1012" s="8"/>
      <c r="R1012" s="8"/>
      <c r="S1012" s="20"/>
      <c r="T1012" s="6"/>
      <c r="U1012" s="20"/>
      <c r="V1012" s="43"/>
    </row>
    <row r="1013" spans="1:22" s="53" customFormat="1" x14ac:dyDescent="0.35">
      <c r="A1013" s="2"/>
      <c r="B1013" s="3"/>
      <c r="C1013" s="3"/>
      <c r="D1013" s="3"/>
      <c r="E1013" s="97"/>
      <c r="F1013" s="97"/>
      <c r="G1013" s="97"/>
      <c r="H1013" s="98"/>
      <c r="I1013" s="96"/>
      <c r="J1013" s="96"/>
      <c r="K1013" s="96"/>
      <c r="L1013" s="61"/>
      <c r="M1013"/>
      <c r="N1013" s="6"/>
      <c r="O1013" s="8"/>
      <c r="P1013" s="8"/>
      <c r="Q1013" s="8"/>
      <c r="R1013" s="8"/>
      <c r="S1013" s="20"/>
      <c r="T1013" s="6"/>
      <c r="U1013" s="20"/>
      <c r="V1013" s="43"/>
    </row>
    <row r="1014" spans="1:22" s="53" customFormat="1" x14ac:dyDescent="0.35">
      <c r="A1014" s="2"/>
      <c r="B1014" s="3"/>
      <c r="C1014" s="3"/>
      <c r="D1014" s="3"/>
      <c r="E1014" s="97"/>
      <c r="F1014" s="97"/>
      <c r="G1014" s="97"/>
      <c r="H1014" s="98"/>
      <c r="I1014" s="96"/>
      <c r="J1014" s="96"/>
      <c r="K1014" s="96"/>
      <c r="L1014" s="61"/>
      <c r="M1014"/>
      <c r="N1014" s="6"/>
      <c r="O1014" s="8"/>
      <c r="P1014" s="8"/>
      <c r="Q1014" s="8"/>
      <c r="R1014" s="8"/>
      <c r="S1014" s="20"/>
      <c r="T1014" s="6"/>
      <c r="U1014" s="20"/>
      <c r="V1014" s="43"/>
    </row>
    <row r="1015" spans="1:22" s="53" customFormat="1" x14ac:dyDescent="0.35">
      <c r="A1015" s="2"/>
      <c r="B1015" s="3"/>
      <c r="C1015" s="3"/>
      <c r="D1015" s="3"/>
      <c r="E1015" s="97"/>
      <c r="F1015" s="97"/>
      <c r="G1015" s="97"/>
      <c r="H1015" s="98"/>
      <c r="I1015" s="96"/>
      <c r="J1015" s="96"/>
      <c r="K1015" s="96"/>
      <c r="L1015" s="61"/>
      <c r="M1015"/>
      <c r="N1015" s="6"/>
      <c r="O1015" s="8"/>
      <c r="P1015" s="8"/>
      <c r="Q1015" s="8"/>
      <c r="R1015" s="8"/>
      <c r="S1015" s="20"/>
      <c r="T1015" s="6"/>
      <c r="U1015" s="20"/>
      <c r="V1015" s="43"/>
    </row>
    <row r="1016" spans="1:22" s="53" customFormat="1" x14ac:dyDescent="0.35">
      <c r="A1016" s="2"/>
      <c r="B1016" s="3"/>
      <c r="C1016" s="3"/>
      <c r="D1016" s="3"/>
      <c r="E1016" s="97"/>
      <c r="F1016" s="97"/>
      <c r="G1016" s="97"/>
      <c r="H1016" s="98"/>
      <c r="I1016" s="96"/>
      <c r="J1016" s="96"/>
      <c r="K1016" s="96"/>
      <c r="L1016" s="61"/>
      <c r="M1016"/>
      <c r="N1016" s="6"/>
      <c r="O1016" s="8"/>
      <c r="P1016" s="8"/>
      <c r="Q1016" s="8"/>
      <c r="R1016" s="8"/>
      <c r="S1016" s="20"/>
      <c r="T1016" s="6"/>
      <c r="U1016" s="20"/>
      <c r="V1016" s="43"/>
    </row>
    <row r="1017" spans="1:22" s="53" customFormat="1" x14ac:dyDescent="0.35">
      <c r="A1017" s="2"/>
      <c r="B1017" s="3"/>
      <c r="C1017" s="3"/>
      <c r="D1017" s="3"/>
      <c r="E1017" s="97"/>
      <c r="F1017" s="97"/>
      <c r="G1017" s="97"/>
      <c r="H1017" s="98"/>
      <c r="I1017" s="96"/>
      <c r="J1017" s="96"/>
      <c r="K1017" s="96"/>
      <c r="L1017" s="61"/>
      <c r="M1017"/>
      <c r="N1017" s="6"/>
      <c r="O1017" s="8"/>
      <c r="P1017" s="8"/>
      <c r="Q1017" s="8"/>
      <c r="R1017" s="8"/>
      <c r="S1017" s="20"/>
      <c r="T1017" s="6"/>
      <c r="U1017" s="20"/>
      <c r="V1017" s="43"/>
    </row>
    <row r="1018" spans="1:22" s="53" customFormat="1" x14ac:dyDescent="0.35">
      <c r="A1018" s="2"/>
      <c r="B1018" s="3"/>
      <c r="C1018" s="3"/>
      <c r="D1018" s="3"/>
      <c r="E1018" s="97"/>
      <c r="F1018" s="97"/>
      <c r="G1018" s="97"/>
      <c r="H1018" s="98"/>
      <c r="I1018" s="96"/>
      <c r="J1018" s="96"/>
      <c r="K1018" s="96"/>
      <c r="L1018" s="61"/>
      <c r="M1018"/>
      <c r="N1018" s="6"/>
      <c r="O1018" s="8"/>
      <c r="P1018" s="8"/>
      <c r="Q1018" s="8"/>
      <c r="R1018" s="8"/>
      <c r="S1018" s="20"/>
      <c r="T1018" s="6"/>
      <c r="U1018" s="20"/>
      <c r="V1018" s="43"/>
    </row>
    <row r="1019" spans="1:22" s="53" customFormat="1" x14ac:dyDescent="0.35">
      <c r="A1019" s="2"/>
      <c r="B1019" s="3"/>
      <c r="C1019" s="3"/>
      <c r="D1019" s="3"/>
      <c r="E1019" s="97"/>
      <c r="F1019" s="97"/>
      <c r="G1019" s="97"/>
      <c r="H1019" s="98"/>
      <c r="I1019" s="96"/>
      <c r="J1019" s="96"/>
      <c r="K1019" s="96"/>
      <c r="L1019" s="61"/>
      <c r="M1019"/>
      <c r="N1019" s="6"/>
      <c r="O1019" s="8"/>
      <c r="P1019" s="8"/>
      <c r="Q1019" s="8"/>
      <c r="R1019" s="8"/>
      <c r="S1019" s="20"/>
      <c r="T1019" s="6"/>
      <c r="U1019" s="20"/>
      <c r="V1019" s="43"/>
    </row>
    <row r="1020" spans="1:22" s="53" customFormat="1" x14ac:dyDescent="0.35">
      <c r="A1020" s="2"/>
      <c r="B1020" s="3"/>
      <c r="C1020" s="3"/>
      <c r="D1020" s="3"/>
      <c r="E1020" s="97"/>
      <c r="F1020" s="97"/>
      <c r="G1020" s="97"/>
      <c r="H1020" s="98"/>
      <c r="I1020" s="96"/>
      <c r="J1020" s="96"/>
      <c r="K1020" s="96"/>
      <c r="L1020" s="61"/>
      <c r="M1020"/>
      <c r="N1020" s="6"/>
      <c r="O1020" s="8"/>
      <c r="P1020" s="8"/>
      <c r="Q1020" s="8"/>
      <c r="R1020" s="8"/>
      <c r="S1020" s="20"/>
      <c r="T1020" s="6"/>
      <c r="U1020" s="20"/>
      <c r="V1020" s="43"/>
    </row>
    <row r="1021" spans="1:22" s="53" customFormat="1" x14ac:dyDescent="0.35">
      <c r="A1021" s="2"/>
      <c r="B1021" s="3"/>
      <c r="C1021" s="3"/>
      <c r="D1021" s="3"/>
      <c r="E1021" s="97"/>
      <c r="F1021" s="97"/>
      <c r="G1021" s="97"/>
      <c r="H1021" s="98"/>
      <c r="I1021" s="96"/>
      <c r="J1021" s="96"/>
      <c r="K1021" s="96"/>
      <c r="L1021" s="61"/>
      <c r="M1021"/>
      <c r="N1021" s="6"/>
      <c r="O1021" s="8"/>
      <c r="P1021" s="8"/>
      <c r="Q1021" s="8"/>
      <c r="R1021" s="8"/>
      <c r="S1021" s="20"/>
      <c r="T1021" s="6"/>
      <c r="U1021" s="20"/>
      <c r="V1021" s="43"/>
    </row>
    <row r="1022" spans="1:22" s="53" customFormat="1" x14ac:dyDescent="0.35">
      <c r="A1022" s="2"/>
      <c r="B1022" s="3"/>
      <c r="C1022" s="3"/>
      <c r="D1022" s="3"/>
      <c r="E1022" s="97"/>
      <c r="F1022" s="97"/>
      <c r="G1022" s="97"/>
      <c r="H1022" s="98"/>
      <c r="I1022" s="96"/>
      <c r="J1022" s="96"/>
      <c r="K1022" s="96"/>
      <c r="L1022" s="61"/>
      <c r="M1022"/>
      <c r="N1022" s="6"/>
      <c r="O1022" s="8"/>
      <c r="P1022" s="8"/>
      <c r="Q1022" s="8"/>
      <c r="R1022" s="8"/>
      <c r="S1022" s="20"/>
      <c r="T1022" s="6"/>
      <c r="U1022" s="20"/>
      <c r="V1022" s="12"/>
    </row>
    <row r="1023" spans="1:22" s="53" customFormat="1" x14ac:dyDescent="0.35">
      <c r="A1023" s="2"/>
      <c r="B1023" s="3"/>
      <c r="C1023" s="3"/>
      <c r="D1023" s="3"/>
      <c r="E1023" s="97"/>
      <c r="F1023" s="97"/>
      <c r="G1023" s="97"/>
      <c r="H1023" s="98"/>
      <c r="I1023" s="96"/>
      <c r="J1023" s="96"/>
      <c r="K1023" s="96"/>
      <c r="L1023" s="61"/>
      <c r="M1023"/>
      <c r="N1023" s="6"/>
      <c r="O1023" s="8"/>
      <c r="P1023" s="8"/>
      <c r="Q1023" s="8"/>
      <c r="R1023" s="8"/>
      <c r="S1023" s="20"/>
      <c r="T1023" s="6"/>
      <c r="U1023" s="20"/>
      <c r="V1023" s="43"/>
    </row>
    <row r="1024" spans="1:22" s="53" customFormat="1" x14ac:dyDescent="0.35">
      <c r="A1024" s="2"/>
      <c r="B1024" s="3"/>
      <c r="C1024" s="3"/>
      <c r="D1024" s="3"/>
      <c r="E1024" s="97"/>
      <c r="F1024" s="97"/>
      <c r="G1024" s="97"/>
      <c r="H1024" s="98"/>
      <c r="I1024" s="96"/>
      <c r="J1024" s="96"/>
      <c r="K1024" s="96"/>
      <c r="L1024" s="61"/>
      <c r="M1024"/>
      <c r="N1024" s="6"/>
      <c r="O1024" s="8"/>
      <c r="P1024" s="8"/>
      <c r="Q1024" s="8"/>
      <c r="R1024" s="8"/>
      <c r="S1024" s="20"/>
      <c r="T1024" s="6"/>
      <c r="U1024" s="20"/>
      <c r="V1024" s="43"/>
    </row>
    <row r="1025" spans="1:22" s="53" customFormat="1" x14ac:dyDescent="0.35">
      <c r="A1025" s="2"/>
      <c r="B1025" s="3"/>
      <c r="C1025" s="3"/>
      <c r="D1025" s="3"/>
      <c r="E1025" s="97"/>
      <c r="F1025" s="97"/>
      <c r="G1025" s="97"/>
      <c r="H1025" s="98"/>
      <c r="I1025" s="96"/>
      <c r="J1025" s="96"/>
      <c r="K1025" s="96"/>
      <c r="L1025" s="61"/>
      <c r="M1025"/>
      <c r="N1025" s="6"/>
      <c r="O1025" s="8"/>
      <c r="P1025" s="8"/>
      <c r="Q1025" s="8"/>
      <c r="R1025" s="8"/>
      <c r="S1025" s="20"/>
      <c r="T1025" s="6"/>
      <c r="U1025" s="20"/>
      <c r="V1025" s="12"/>
    </row>
    <row r="1026" spans="1:22" s="53" customFormat="1" x14ac:dyDescent="0.35">
      <c r="A1026" s="2"/>
      <c r="B1026" s="3"/>
      <c r="C1026" s="3"/>
      <c r="D1026" s="3"/>
      <c r="E1026" s="97"/>
      <c r="F1026" s="97"/>
      <c r="G1026" s="97"/>
      <c r="H1026" s="98"/>
      <c r="I1026" s="96"/>
      <c r="J1026" s="96"/>
      <c r="K1026" s="96"/>
      <c r="L1026" s="61"/>
      <c r="M1026"/>
      <c r="N1026" s="6"/>
      <c r="O1026" s="8"/>
      <c r="P1026" s="8"/>
      <c r="Q1026" s="8"/>
      <c r="R1026" s="8"/>
      <c r="S1026" s="20"/>
      <c r="T1026" s="6"/>
      <c r="U1026" s="20"/>
      <c r="V1026" s="12"/>
    </row>
    <row r="1027" spans="1:22" s="53" customFormat="1" x14ac:dyDescent="0.35">
      <c r="A1027" s="2"/>
      <c r="B1027" s="3"/>
      <c r="C1027" s="3"/>
      <c r="D1027" s="3"/>
      <c r="E1027" s="97"/>
      <c r="F1027" s="97"/>
      <c r="G1027" s="97"/>
      <c r="H1027" s="98"/>
      <c r="I1027" s="96"/>
      <c r="J1027" s="96"/>
      <c r="K1027" s="96"/>
      <c r="L1027" s="61"/>
      <c r="M1027"/>
      <c r="N1027" s="6"/>
      <c r="O1027" s="8"/>
      <c r="P1027" s="8"/>
      <c r="Q1027" s="8"/>
      <c r="R1027" s="8"/>
      <c r="S1027" s="20"/>
      <c r="T1027" s="6"/>
      <c r="U1027" s="20"/>
      <c r="V1027" s="43"/>
    </row>
    <row r="1028" spans="1:22" s="53" customFormat="1" x14ac:dyDescent="0.35">
      <c r="A1028" s="2"/>
      <c r="B1028" s="3"/>
      <c r="C1028" s="3"/>
      <c r="D1028" s="3"/>
      <c r="E1028" s="97"/>
      <c r="F1028" s="97"/>
      <c r="G1028" s="97"/>
      <c r="H1028" s="98"/>
      <c r="I1028" s="96"/>
      <c r="J1028" s="96"/>
      <c r="K1028" s="96"/>
      <c r="L1028" s="61"/>
      <c r="M1028"/>
      <c r="N1028" s="8"/>
      <c r="O1028" s="6"/>
      <c r="P1028" s="6"/>
      <c r="Q1028" s="6"/>
      <c r="R1028" s="6"/>
      <c r="S1028" s="12"/>
      <c r="T1028" s="6"/>
      <c r="U1028" s="12"/>
      <c r="V1028" s="43"/>
    </row>
    <row r="1029" spans="1:22" s="53" customFormat="1" x14ac:dyDescent="0.35">
      <c r="A1029" s="2"/>
      <c r="B1029" s="3"/>
      <c r="C1029" s="3"/>
      <c r="D1029" s="3"/>
      <c r="E1029" s="97"/>
      <c r="F1029" s="97"/>
      <c r="G1029" s="97"/>
      <c r="H1029" s="98"/>
      <c r="I1029" s="96"/>
      <c r="J1029" s="96"/>
      <c r="K1029" s="96"/>
      <c r="L1029" s="61"/>
      <c r="M1029"/>
      <c r="N1029" s="6"/>
      <c r="O1029" s="8"/>
      <c r="P1029" s="8"/>
      <c r="Q1029" s="8"/>
      <c r="R1029" s="8"/>
      <c r="S1029" s="20"/>
      <c r="T1029" s="6"/>
      <c r="U1029" s="20"/>
      <c r="V1029" s="43"/>
    </row>
    <row r="1030" spans="1:22" s="53" customFormat="1" x14ac:dyDescent="0.35">
      <c r="A1030" s="2"/>
      <c r="B1030" s="3"/>
      <c r="C1030" s="3"/>
      <c r="D1030" s="3"/>
      <c r="E1030" s="97"/>
      <c r="F1030" s="97"/>
      <c r="G1030" s="97"/>
      <c r="H1030" s="98"/>
      <c r="I1030" s="96"/>
      <c r="J1030" s="96"/>
      <c r="K1030" s="96"/>
      <c r="L1030" s="61"/>
      <c r="M1030"/>
      <c r="N1030" s="6"/>
      <c r="O1030" s="8"/>
      <c r="P1030" s="8"/>
      <c r="Q1030" s="8"/>
      <c r="R1030" s="8"/>
      <c r="S1030" s="20"/>
      <c r="T1030" s="6"/>
      <c r="U1030" s="20"/>
      <c r="V1030" s="43"/>
    </row>
    <row r="1031" spans="1:22" s="53" customFormat="1" x14ac:dyDescent="0.35">
      <c r="A1031" s="2"/>
      <c r="B1031" s="3"/>
      <c r="C1031" s="3"/>
      <c r="D1031" s="3"/>
      <c r="E1031" s="97"/>
      <c r="F1031" s="97"/>
      <c r="G1031" s="97"/>
      <c r="H1031" s="98"/>
      <c r="I1031" s="96"/>
      <c r="J1031" s="96"/>
      <c r="K1031" s="96"/>
      <c r="L1031" s="61"/>
      <c r="M1031"/>
      <c r="N1031" s="6"/>
      <c r="O1031" s="8"/>
      <c r="P1031" s="8"/>
      <c r="Q1031" s="8"/>
      <c r="R1031" s="8"/>
      <c r="S1031" s="20"/>
      <c r="T1031" s="6"/>
      <c r="U1031" s="20"/>
      <c r="V1031" s="12"/>
    </row>
    <row r="1032" spans="1:22" s="53" customFormat="1" x14ac:dyDescent="0.35">
      <c r="A1032" s="2"/>
      <c r="B1032" s="3"/>
      <c r="C1032" s="3"/>
      <c r="D1032" s="3"/>
      <c r="E1032" s="97"/>
      <c r="F1032" s="97"/>
      <c r="G1032" s="97"/>
      <c r="H1032" s="98"/>
      <c r="I1032" s="96"/>
      <c r="J1032" s="96"/>
      <c r="K1032" s="96"/>
      <c r="L1032" s="61"/>
      <c r="M1032"/>
      <c r="N1032" s="6"/>
      <c r="O1032" s="8"/>
      <c r="P1032" s="8"/>
      <c r="Q1032" s="8"/>
      <c r="R1032" s="8"/>
      <c r="S1032" s="20"/>
      <c r="T1032" s="6"/>
      <c r="U1032" s="20"/>
      <c r="V1032" s="12"/>
    </row>
    <row r="1033" spans="1:22" s="53" customFormat="1" x14ac:dyDescent="0.35">
      <c r="A1033" s="2"/>
      <c r="B1033" s="3"/>
      <c r="C1033" s="3"/>
      <c r="D1033" s="3"/>
      <c r="E1033" s="97"/>
      <c r="F1033" s="97"/>
      <c r="G1033" s="97"/>
      <c r="H1033" s="98"/>
      <c r="I1033" s="96"/>
      <c r="J1033" s="96"/>
      <c r="K1033" s="96"/>
      <c r="L1033" s="61"/>
      <c r="M1033"/>
      <c r="N1033" s="6"/>
      <c r="O1033" s="8"/>
      <c r="P1033" s="8"/>
      <c r="Q1033" s="8"/>
      <c r="R1033" s="8"/>
      <c r="S1033" s="20"/>
      <c r="T1033" s="6"/>
      <c r="U1033" s="20"/>
      <c r="V1033" s="12"/>
    </row>
    <row r="1034" spans="1:22" s="53" customFormat="1" x14ac:dyDescent="0.35">
      <c r="A1034" s="2"/>
      <c r="B1034" s="3"/>
      <c r="C1034" s="3"/>
      <c r="D1034" s="3"/>
      <c r="E1034" s="97"/>
      <c r="F1034" s="97"/>
      <c r="G1034" s="97"/>
      <c r="H1034" s="98"/>
      <c r="I1034" s="96"/>
      <c r="J1034" s="96"/>
      <c r="K1034" s="96"/>
      <c r="L1034" s="61"/>
      <c r="M1034"/>
      <c r="N1034" s="6"/>
      <c r="O1034" s="8"/>
      <c r="P1034" s="8"/>
      <c r="Q1034" s="8"/>
      <c r="R1034" s="8"/>
      <c r="S1034" s="20"/>
      <c r="T1034" s="6"/>
      <c r="U1034" s="20"/>
      <c r="V1034" s="12"/>
    </row>
    <row r="1035" spans="1:22" s="53" customFormat="1" x14ac:dyDescent="0.35">
      <c r="A1035" s="2"/>
      <c r="B1035" s="3"/>
      <c r="C1035" s="3"/>
      <c r="D1035" s="3"/>
      <c r="E1035" s="97"/>
      <c r="F1035" s="97"/>
      <c r="G1035" s="97"/>
      <c r="H1035" s="98"/>
      <c r="I1035" s="96"/>
      <c r="J1035" s="96"/>
      <c r="K1035" s="96"/>
      <c r="L1035" s="61"/>
      <c r="M1035"/>
      <c r="N1035" s="6"/>
      <c r="O1035" s="8"/>
      <c r="P1035" s="8"/>
      <c r="Q1035" s="8"/>
      <c r="R1035" s="8"/>
      <c r="S1035" s="20"/>
      <c r="T1035" s="6"/>
      <c r="U1035" s="20"/>
      <c r="V1035" s="12"/>
    </row>
    <row r="1036" spans="1:22" s="53" customFormat="1" x14ac:dyDescent="0.35">
      <c r="A1036" s="2"/>
      <c r="B1036" s="3"/>
      <c r="C1036" s="3"/>
      <c r="D1036" s="3"/>
      <c r="E1036" s="97"/>
      <c r="F1036" s="97"/>
      <c r="G1036" s="97"/>
      <c r="H1036" s="98"/>
      <c r="I1036" s="96"/>
      <c r="J1036" s="96"/>
      <c r="K1036" s="96"/>
      <c r="L1036" s="61"/>
      <c r="M1036"/>
      <c r="N1036" s="6"/>
      <c r="O1036" s="8"/>
      <c r="P1036" s="8"/>
      <c r="Q1036" s="8"/>
      <c r="R1036" s="8"/>
      <c r="S1036" s="20"/>
      <c r="T1036" s="6"/>
      <c r="U1036" s="20"/>
      <c r="V1036" s="12"/>
    </row>
    <row r="1037" spans="1:22" s="53" customFormat="1" x14ac:dyDescent="0.35">
      <c r="A1037" s="2"/>
      <c r="B1037" s="3"/>
      <c r="C1037" s="3"/>
      <c r="D1037" s="3"/>
      <c r="E1037" s="6"/>
      <c r="F1037" s="6"/>
      <c r="G1037" s="6"/>
      <c r="H1037" s="98"/>
      <c r="I1037" s="6"/>
      <c r="J1037" s="6"/>
      <c r="K1037" s="94"/>
      <c r="L1037" s="40"/>
      <c r="M1037"/>
      <c r="N1037" s="6"/>
      <c r="O1037" s="8"/>
      <c r="P1037" s="8"/>
      <c r="Q1037" s="8"/>
      <c r="R1037" s="8"/>
      <c r="S1037" s="20"/>
      <c r="T1037" s="6"/>
      <c r="U1037" s="20"/>
      <c r="V1037" s="43"/>
    </row>
    <row r="1038" spans="1:22" s="53" customFormat="1" x14ac:dyDescent="0.35">
      <c r="A1038" s="2"/>
      <c r="B1038" s="3"/>
      <c r="C1038" s="3"/>
      <c r="D1038" s="3"/>
      <c r="E1038" s="6"/>
      <c r="F1038" s="6"/>
      <c r="G1038" s="6"/>
      <c r="H1038" s="98"/>
      <c r="I1038" s="6"/>
      <c r="J1038" s="6"/>
      <c r="K1038" s="94"/>
      <c r="L1038" s="40"/>
      <c r="M1038"/>
      <c r="N1038" s="6"/>
      <c r="O1038" s="8"/>
      <c r="P1038" s="8"/>
      <c r="Q1038" s="8"/>
      <c r="R1038" s="8"/>
      <c r="S1038" s="20"/>
      <c r="T1038" s="6"/>
      <c r="U1038" s="20"/>
      <c r="V1038" s="43"/>
    </row>
    <row r="1039" spans="1:22" s="53" customFormat="1" x14ac:dyDescent="0.35">
      <c r="A1039" s="2"/>
      <c r="B1039" s="3"/>
      <c r="C1039" s="3"/>
      <c r="D1039" s="3"/>
      <c r="E1039" s="6"/>
      <c r="F1039" s="6"/>
      <c r="G1039" s="6"/>
      <c r="H1039" s="98"/>
      <c r="I1039" s="13"/>
      <c r="J1039" s="6"/>
      <c r="K1039" s="94"/>
      <c r="L1039" s="40"/>
      <c r="M1039"/>
      <c r="N1039" s="6"/>
      <c r="O1039" s="8"/>
      <c r="P1039" s="8"/>
      <c r="Q1039" s="8"/>
      <c r="R1039" s="8"/>
      <c r="S1039" s="20"/>
      <c r="T1039" s="6"/>
      <c r="U1039" s="20"/>
      <c r="V1039" s="43"/>
    </row>
    <row r="1040" spans="1:22" s="53" customFormat="1" x14ac:dyDescent="0.35">
      <c r="A1040" s="2"/>
      <c r="B1040" s="3"/>
      <c r="C1040" s="3"/>
      <c r="D1040" s="3"/>
      <c r="E1040" s="6"/>
      <c r="F1040" s="6"/>
      <c r="G1040" s="6"/>
      <c r="H1040" s="98"/>
      <c r="I1040" s="6"/>
      <c r="J1040" s="6"/>
      <c r="K1040" s="94"/>
      <c r="L1040" s="40"/>
      <c r="M1040"/>
      <c r="N1040" s="6"/>
      <c r="O1040" s="8"/>
      <c r="P1040" s="8"/>
      <c r="Q1040" s="8"/>
      <c r="R1040" s="8"/>
      <c r="S1040" s="20"/>
      <c r="T1040" s="6"/>
      <c r="U1040" s="20"/>
      <c r="V1040" s="43"/>
    </row>
    <row r="1041" spans="1:22" s="53" customFormat="1" x14ac:dyDescent="0.35">
      <c r="A1041" s="2"/>
      <c r="B1041" s="3"/>
      <c r="C1041" s="3"/>
      <c r="D1041" s="3"/>
      <c r="E1041" s="6"/>
      <c r="F1041" s="6"/>
      <c r="G1041" s="6"/>
      <c r="H1041" s="98"/>
      <c r="I1041" s="6"/>
      <c r="J1041" s="6"/>
      <c r="K1041" s="94"/>
      <c r="L1041" s="40"/>
      <c r="M1041"/>
      <c r="N1041" s="6"/>
      <c r="O1041" s="8"/>
      <c r="P1041" s="8"/>
      <c r="Q1041" s="8"/>
      <c r="R1041" s="8"/>
      <c r="S1041" s="20"/>
      <c r="T1041" s="6"/>
      <c r="U1041" s="20"/>
      <c r="V1041" s="43"/>
    </row>
    <row r="1042" spans="1:22" s="53" customFormat="1" x14ac:dyDescent="0.35">
      <c r="A1042" s="2"/>
      <c r="B1042" s="3"/>
      <c r="C1042" s="3"/>
      <c r="D1042" s="3"/>
      <c r="E1042" s="6"/>
      <c r="F1042" s="6"/>
      <c r="G1042" s="6"/>
      <c r="H1042" s="98"/>
      <c r="I1042" s="6"/>
      <c r="J1042" s="6"/>
      <c r="K1042" s="94"/>
      <c r="L1042" s="40"/>
      <c r="M1042"/>
      <c r="N1042" s="6"/>
      <c r="O1042" s="8"/>
      <c r="P1042" s="8"/>
      <c r="Q1042" s="8"/>
      <c r="R1042" s="8"/>
      <c r="S1042" s="20"/>
      <c r="T1042" s="6"/>
      <c r="U1042" s="20"/>
      <c r="V1042" s="43"/>
    </row>
    <row r="1043" spans="1:22" s="53" customFormat="1" x14ac:dyDescent="0.35">
      <c r="A1043" s="2"/>
      <c r="B1043" s="3"/>
      <c r="C1043" s="3"/>
      <c r="D1043" s="3"/>
      <c r="E1043" s="6"/>
      <c r="F1043" s="6"/>
      <c r="G1043" s="6"/>
      <c r="H1043" s="98"/>
      <c r="I1043" s="6"/>
      <c r="J1043" s="6"/>
      <c r="K1043" s="94"/>
      <c r="L1043" s="40"/>
      <c r="M1043"/>
      <c r="N1043" s="6"/>
      <c r="O1043" s="8"/>
      <c r="P1043" s="8"/>
      <c r="Q1043" s="8"/>
      <c r="R1043" s="8"/>
      <c r="S1043" s="20"/>
      <c r="T1043" s="6"/>
      <c r="U1043" s="20"/>
      <c r="V1043" s="43"/>
    </row>
    <row r="1044" spans="1:22" s="53" customFormat="1" x14ac:dyDescent="0.35">
      <c r="A1044" s="2"/>
      <c r="B1044" s="3"/>
      <c r="C1044" s="3"/>
      <c r="D1044" s="3"/>
      <c r="E1044" s="6"/>
      <c r="F1044" s="6"/>
      <c r="G1044" s="6"/>
      <c r="H1044" s="98"/>
      <c r="I1044" s="6"/>
      <c r="J1044" s="6"/>
      <c r="K1044" s="94"/>
      <c r="L1044" s="40"/>
      <c r="M1044"/>
      <c r="N1044" s="6"/>
      <c r="O1044" s="8"/>
      <c r="P1044" s="8"/>
      <c r="Q1044" s="8"/>
      <c r="R1044" s="8"/>
      <c r="S1044" s="20"/>
      <c r="T1044" s="6"/>
      <c r="U1044" s="20"/>
      <c r="V1044" s="43"/>
    </row>
    <row r="1045" spans="1:22" s="53" customFormat="1" x14ac:dyDescent="0.35">
      <c r="A1045" s="2"/>
      <c r="B1045" s="3"/>
      <c r="C1045" s="3"/>
      <c r="D1045" s="3"/>
      <c r="E1045" s="6"/>
      <c r="F1045" s="6"/>
      <c r="G1045" s="6"/>
      <c r="H1045" s="98"/>
      <c r="I1045" s="6"/>
      <c r="J1045" s="6"/>
      <c r="K1045" s="94"/>
      <c r="L1045" s="40"/>
      <c r="M1045"/>
      <c r="N1045" s="6"/>
      <c r="O1045" s="8"/>
      <c r="P1045" s="8"/>
      <c r="Q1045" s="8"/>
      <c r="R1045" s="8"/>
      <c r="S1045" s="20"/>
      <c r="T1045" s="6"/>
      <c r="U1045" s="20"/>
      <c r="V1045" s="43"/>
    </row>
    <row r="1046" spans="1:22" s="53" customFormat="1" x14ac:dyDescent="0.35">
      <c r="A1046" s="2"/>
      <c r="B1046" s="3"/>
      <c r="C1046" s="3"/>
      <c r="D1046" s="3"/>
      <c r="E1046" s="6"/>
      <c r="F1046" s="6"/>
      <c r="G1046" s="6"/>
      <c r="H1046" s="98"/>
      <c r="I1046" s="6"/>
      <c r="J1046" s="6"/>
      <c r="K1046" s="94"/>
      <c r="L1046" s="40"/>
      <c r="M1046"/>
      <c r="N1046" s="6"/>
      <c r="O1046" s="8"/>
      <c r="P1046" s="8"/>
      <c r="Q1046" s="8"/>
      <c r="R1046" s="8"/>
      <c r="S1046" s="20"/>
      <c r="T1046" s="6"/>
      <c r="U1046" s="20"/>
      <c r="V1046" s="43"/>
    </row>
    <row r="1047" spans="1:22" s="53" customFormat="1" x14ac:dyDescent="0.35">
      <c r="A1047" s="2"/>
      <c r="B1047" s="3"/>
      <c r="C1047" s="3"/>
      <c r="D1047" s="3"/>
      <c r="E1047" s="6"/>
      <c r="F1047" s="13"/>
      <c r="G1047" s="6"/>
      <c r="H1047" s="98"/>
      <c r="I1047" s="6"/>
      <c r="J1047" s="6"/>
      <c r="K1047" s="94"/>
      <c r="L1047" s="40"/>
      <c r="M1047"/>
      <c r="N1047" s="6"/>
      <c r="O1047" s="8"/>
      <c r="P1047" s="8"/>
      <c r="Q1047" s="8"/>
      <c r="R1047" s="8"/>
      <c r="S1047" s="20"/>
      <c r="T1047" s="6"/>
      <c r="U1047" s="20"/>
      <c r="V1047" s="43"/>
    </row>
    <row r="1048" spans="1:22" s="53" customFormat="1" x14ac:dyDescent="0.35">
      <c r="A1048" s="2"/>
      <c r="B1048" s="3"/>
      <c r="C1048" s="3"/>
      <c r="D1048" s="3"/>
      <c r="E1048" s="6"/>
      <c r="F1048" s="6"/>
      <c r="G1048" s="13"/>
      <c r="H1048" s="98"/>
      <c r="I1048" s="6"/>
      <c r="J1048" s="6"/>
      <c r="K1048" s="94"/>
      <c r="L1048" s="40"/>
      <c r="M1048"/>
      <c r="N1048" s="6"/>
      <c r="O1048" s="8"/>
      <c r="P1048" s="8"/>
      <c r="Q1048" s="8"/>
      <c r="R1048" s="8"/>
      <c r="S1048" s="20"/>
      <c r="T1048" s="6"/>
      <c r="U1048" s="20"/>
      <c r="V1048" s="43"/>
    </row>
    <row r="1049" spans="1:22" s="53" customFormat="1" x14ac:dyDescent="0.35">
      <c r="A1049" s="2"/>
      <c r="B1049" s="3"/>
      <c r="C1049" s="3"/>
      <c r="D1049" s="3"/>
      <c r="E1049" s="6"/>
      <c r="F1049" s="6"/>
      <c r="G1049" s="6"/>
      <c r="H1049" s="98"/>
      <c r="I1049" s="6"/>
      <c r="J1049" s="13"/>
      <c r="K1049" s="94"/>
      <c r="L1049" s="40"/>
      <c r="M1049"/>
      <c r="N1049" s="6"/>
      <c r="O1049" s="8"/>
      <c r="P1049" s="8"/>
      <c r="Q1049" s="8"/>
      <c r="R1049" s="8"/>
      <c r="S1049" s="20"/>
      <c r="T1049" s="6"/>
      <c r="U1049" s="20"/>
      <c r="V1049" s="43"/>
    </row>
    <row r="1050" spans="1:22" s="53" customFormat="1" x14ac:dyDescent="0.35">
      <c r="A1050" s="2"/>
      <c r="B1050" s="3"/>
      <c r="C1050" s="3"/>
      <c r="D1050" s="3"/>
      <c r="E1050" s="6"/>
      <c r="F1050" s="6"/>
      <c r="G1050" s="6"/>
      <c r="H1050" s="98"/>
      <c r="I1050" s="6"/>
      <c r="J1050" s="6"/>
      <c r="K1050" s="94"/>
      <c r="L1050" s="40"/>
      <c r="M1050"/>
      <c r="N1050" s="13"/>
      <c r="O1050" s="8"/>
      <c r="P1050" s="8"/>
      <c r="Q1050" s="8"/>
      <c r="R1050" s="8"/>
      <c r="S1050" s="20"/>
      <c r="T1050" s="6"/>
      <c r="U1050" s="20"/>
      <c r="V1050" s="43"/>
    </row>
    <row r="1051" spans="1:22" s="53" customFormat="1" x14ac:dyDescent="0.35">
      <c r="A1051" s="2"/>
      <c r="B1051" s="3"/>
      <c r="C1051" s="3"/>
      <c r="D1051" s="3"/>
      <c r="E1051" s="6"/>
      <c r="F1051" s="6"/>
      <c r="G1051" s="6"/>
      <c r="H1051" s="98"/>
      <c r="I1051" s="6"/>
      <c r="J1051" s="6"/>
      <c r="K1051" s="94"/>
      <c r="L1051" s="40"/>
      <c r="M1051"/>
      <c r="N1051" s="6"/>
      <c r="O1051" s="8"/>
      <c r="P1051" s="8"/>
      <c r="Q1051" s="8"/>
      <c r="R1051" s="8"/>
      <c r="S1051" s="20"/>
      <c r="T1051" s="6"/>
      <c r="U1051" s="20"/>
      <c r="V1051" s="43"/>
    </row>
    <row r="1052" spans="1:22" s="53" customFormat="1" x14ac:dyDescent="0.35">
      <c r="A1052" s="2"/>
      <c r="B1052" s="3"/>
      <c r="C1052" s="3"/>
      <c r="D1052" s="3"/>
      <c r="E1052" s="6"/>
      <c r="F1052" s="6"/>
      <c r="G1052" s="6"/>
      <c r="H1052" s="34"/>
      <c r="I1052" s="6"/>
      <c r="J1052" s="6"/>
      <c r="K1052" s="94"/>
      <c r="L1052" s="40"/>
      <c r="M1052"/>
      <c r="N1052" s="6"/>
      <c r="O1052" s="8"/>
      <c r="P1052" s="8"/>
      <c r="Q1052" s="8"/>
      <c r="R1052" s="8"/>
      <c r="S1052" s="20"/>
      <c r="T1052" s="6"/>
      <c r="U1052" s="20"/>
      <c r="V1052" s="43"/>
    </row>
    <row r="1053" spans="1:22" s="53" customFormat="1" x14ac:dyDescent="0.35">
      <c r="A1053" s="2"/>
      <c r="B1053" s="3"/>
      <c r="C1053" s="3"/>
      <c r="D1053" s="3"/>
      <c r="E1053" s="6"/>
      <c r="F1053" s="6"/>
      <c r="G1053" s="6"/>
      <c r="H1053" s="98"/>
      <c r="I1053" s="6"/>
      <c r="J1053" s="6"/>
      <c r="K1053" s="94"/>
      <c r="L1053" s="40"/>
      <c r="M1053"/>
      <c r="N1053" s="6"/>
      <c r="O1053" s="8"/>
      <c r="P1053" s="8"/>
      <c r="Q1053" s="8"/>
      <c r="R1053" s="8"/>
      <c r="S1053" s="20"/>
      <c r="T1053" s="6"/>
      <c r="U1053" s="20"/>
      <c r="V1053" s="12"/>
    </row>
    <row r="1054" spans="1:22" s="53" customFormat="1" x14ac:dyDescent="0.35">
      <c r="A1054" s="2"/>
      <c r="B1054" s="3"/>
      <c r="C1054" s="3"/>
      <c r="D1054" s="3"/>
      <c r="E1054" s="6"/>
      <c r="F1054" s="6"/>
      <c r="G1054" s="6"/>
      <c r="H1054" s="98"/>
      <c r="I1054" s="6"/>
      <c r="J1054" s="6"/>
      <c r="K1054" s="94"/>
      <c r="L1054" s="40"/>
      <c r="M1054"/>
      <c r="N1054" s="6"/>
      <c r="O1054" s="8"/>
      <c r="P1054" s="8"/>
      <c r="Q1054" s="8"/>
      <c r="R1054" s="8"/>
      <c r="S1054" s="20"/>
      <c r="T1054" s="6"/>
      <c r="U1054" s="20"/>
      <c r="V1054" s="43"/>
    </row>
    <row r="1055" spans="1:22" s="53" customFormat="1" x14ac:dyDescent="0.35">
      <c r="A1055" s="2"/>
      <c r="B1055" s="3"/>
      <c r="C1055" s="3"/>
      <c r="D1055" s="3"/>
      <c r="E1055" s="6"/>
      <c r="F1055" s="6"/>
      <c r="G1055" s="6"/>
      <c r="H1055" s="98"/>
      <c r="I1055" s="6"/>
      <c r="J1055" s="6"/>
      <c r="K1055" s="94"/>
      <c r="L1055" s="40"/>
      <c r="M1055"/>
      <c r="N1055" s="6"/>
      <c r="O1055" s="8"/>
      <c r="P1055" s="8"/>
      <c r="Q1055" s="8"/>
      <c r="R1055" s="8"/>
      <c r="S1055" s="20"/>
      <c r="T1055" s="6"/>
      <c r="U1055" s="20"/>
      <c r="V1055" s="43"/>
    </row>
    <row r="1056" spans="1:22" s="53" customFormat="1" x14ac:dyDescent="0.35">
      <c r="A1056" s="2"/>
      <c r="B1056" s="3"/>
      <c r="C1056" s="3"/>
      <c r="D1056" s="3"/>
      <c r="E1056" s="6"/>
      <c r="F1056" s="6"/>
      <c r="G1056" s="6"/>
      <c r="H1056" s="98"/>
      <c r="I1056" s="6"/>
      <c r="J1056" s="6"/>
      <c r="K1056" s="94"/>
      <c r="L1056" s="40"/>
      <c r="M1056"/>
      <c r="N1056" s="6"/>
      <c r="O1056" s="8"/>
      <c r="P1056" s="8"/>
      <c r="Q1056" s="8"/>
      <c r="R1056" s="8"/>
      <c r="S1056" s="20"/>
      <c r="T1056" s="6"/>
      <c r="U1056" s="20"/>
      <c r="V1056" s="12"/>
    </row>
    <row r="1057" spans="1:22" s="53" customFormat="1" x14ac:dyDescent="0.35">
      <c r="A1057" s="2"/>
      <c r="B1057" s="3"/>
      <c r="C1057" s="3"/>
      <c r="D1057" s="3"/>
      <c r="E1057" s="6"/>
      <c r="F1057" s="6"/>
      <c r="G1057" s="6"/>
      <c r="H1057" s="98"/>
      <c r="I1057" s="6"/>
      <c r="J1057" s="6"/>
      <c r="K1057" s="94"/>
      <c r="L1057" s="40"/>
      <c r="M1057"/>
      <c r="N1057" s="6"/>
      <c r="O1057" s="8"/>
      <c r="P1057" s="8"/>
      <c r="Q1057" s="8"/>
      <c r="R1057" s="8"/>
      <c r="S1057" s="20"/>
      <c r="T1057" s="6"/>
      <c r="U1057" s="20"/>
      <c r="V1057" s="12"/>
    </row>
    <row r="1058" spans="1:22" s="53" customFormat="1" x14ac:dyDescent="0.35">
      <c r="A1058" s="2"/>
      <c r="B1058" s="3"/>
      <c r="C1058" s="3"/>
      <c r="D1058" s="3"/>
      <c r="E1058" s="6"/>
      <c r="F1058" s="6"/>
      <c r="G1058" s="6"/>
      <c r="H1058" s="98"/>
      <c r="I1058" s="6"/>
      <c r="J1058" s="6"/>
      <c r="K1058" s="94"/>
      <c r="L1058" s="40"/>
      <c r="M1058"/>
      <c r="N1058" s="6"/>
      <c r="O1058" s="8"/>
      <c r="P1058" s="8"/>
      <c r="Q1058" s="8"/>
      <c r="R1058" s="8"/>
      <c r="S1058" s="20"/>
      <c r="T1058" s="6"/>
      <c r="U1058" s="20"/>
      <c r="V1058" s="43"/>
    </row>
    <row r="1059" spans="1:22" s="53" customFormat="1" x14ac:dyDescent="0.35">
      <c r="A1059" s="2"/>
      <c r="B1059" s="3"/>
      <c r="C1059" s="3"/>
      <c r="D1059" s="3"/>
      <c r="E1059" s="6"/>
      <c r="F1059" s="6"/>
      <c r="G1059" s="6"/>
      <c r="H1059" s="98"/>
      <c r="I1059" s="6"/>
      <c r="J1059" s="6"/>
      <c r="K1059" s="94"/>
      <c r="L1059" s="40"/>
      <c r="M1059"/>
      <c r="N1059" s="6"/>
      <c r="O1059" s="8"/>
      <c r="P1059" s="8"/>
      <c r="Q1059" s="8"/>
      <c r="R1059" s="8"/>
      <c r="S1059" s="20"/>
      <c r="T1059" s="6"/>
      <c r="U1059" s="20"/>
      <c r="V1059" s="43"/>
    </row>
    <row r="1060" spans="1:22" s="53" customFormat="1" x14ac:dyDescent="0.35">
      <c r="A1060" s="2"/>
      <c r="B1060" s="3"/>
      <c r="C1060" s="3"/>
      <c r="D1060" s="3"/>
      <c r="E1060" s="6"/>
      <c r="F1060" s="6"/>
      <c r="G1060" s="6"/>
      <c r="H1060" s="98"/>
      <c r="I1060" s="6"/>
      <c r="J1060" s="6"/>
      <c r="K1060" s="94"/>
      <c r="L1060" s="40"/>
      <c r="M1060"/>
      <c r="N1060" s="6"/>
      <c r="O1060" s="8"/>
      <c r="P1060" s="8"/>
      <c r="Q1060" s="8"/>
      <c r="R1060" s="8"/>
      <c r="S1060" s="20"/>
      <c r="T1060" s="6"/>
      <c r="U1060" s="20"/>
      <c r="V1060" s="43"/>
    </row>
    <row r="1061" spans="1:22" s="53" customFormat="1" x14ac:dyDescent="0.35">
      <c r="A1061" s="2"/>
      <c r="B1061" s="3"/>
      <c r="C1061" s="3"/>
      <c r="D1061" s="3"/>
      <c r="E1061" s="6"/>
      <c r="F1061" s="6"/>
      <c r="G1061" s="6"/>
      <c r="H1061" s="98"/>
      <c r="I1061" s="6"/>
      <c r="J1061" s="6"/>
      <c r="K1061" s="94"/>
      <c r="L1061" s="40"/>
      <c r="M1061"/>
      <c r="N1061" s="6"/>
      <c r="O1061" s="8"/>
      <c r="P1061" s="8"/>
      <c r="Q1061" s="8"/>
      <c r="R1061" s="8"/>
      <c r="S1061" s="20"/>
      <c r="T1061" s="6"/>
      <c r="U1061" s="20"/>
      <c r="V1061" s="43"/>
    </row>
    <row r="1062" spans="1:22" s="53" customFormat="1" x14ac:dyDescent="0.35">
      <c r="A1062" s="2"/>
      <c r="B1062" s="3"/>
      <c r="C1062" s="3"/>
      <c r="D1062" s="3"/>
      <c r="E1062" s="6"/>
      <c r="F1062" s="6"/>
      <c r="G1062" s="6"/>
      <c r="H1062" s="98"/>
      <c r="I1062" s="6"/>
      <c r="J1062" s="6"/>
      <c r="K1062" s="94"/>
      <c r="L1062" s="40"/>
      <c r="M1062"/>
      <c r="N1062" s="6"/>
      <c r="O1062" s="8"/>
      <c r="P1062" s="8"/>
      <c r="Q1062" s="8"/>
      <c r="R1062" s="8"/>
      <c r="S1062" s="20"/>
      <c r="T1062" s="6"/>
      <c r="U1062" s="20"/>
      <c r="V1062" s="12"/>
    </row>
    <row r="1063" spans="1:22" s="53" customFormat="1" x14ac:dyDescent="0.35">
      <c r="A1063" s="2"/>
      <c r="B1063" s="3"/>
      <c r="C1063" s="3"/>
      <c r="D1063" s="3"/>
      <c r="E1063" s="6"/>
      <c r="F1063" s="6"/>
      <c r="G1063" s="6"/>
      <c r="H1063" s="98"/>
      <c r="I1063" s="6"/>
      <c r="J1063" s="6"/>
      <c r="K1063" s="94"/>
      <c r="L1063" s="40"/>
      <c r="M1063"/>
      <c r="N1063" s="6"/>
      <c r="O1063" s="8"/>
      <c r="P1063" s="8"/>
      <c r="Q1063" s="8"/>
      <c r="R1063" s="8"/>
      <c r="S1063" s="20"/>
      <c r="T1063" s="6"/>
      <c r="U1063" s="20"/>
      <c r="V1063" s="12"/>
    </row>
    <row r="1064" spans="1:22" s="53" customFormat="1" x14ac:dyDescent="0.35">
      <c r="A1064" s="2"/>
      <c r="B1064" s="3"/>
      <c r="C1064" s="3"/>
      <c r="D1064" s="3"/>
      <c r="E1064" s="6"/>
      <c r="F1064" s="6"/>
      <c r="G1064" s="6"/>
      <c r="H1064" s="98"/>
      <c r="I1064" s="6"/>
      <c r="J1064" s="6"/>
      <c r="K1064" s="94"/>
      <c r="L1064" s="40"/>
      <c r="M1064"/>
      <c r="N1064" s="6"/>
      <c r="O1064" s="8"/>
      <c r="P1064" s="8"/>
      <c r="Q1064" s="8"/>
      <c r="R1064" s="8"/>
      <c r="S1064" s="20"/>
      <c r="T1064" s="6"/>
      <c r="U1064" s="20"/>
      <c r="V1064" s="12"/>
    </row>
    <row r="1065" spans="1:22" s="53" customFormat="1" x14ac:dyDescent="0.35">
      <c r="A1065" s="2"/>
      <c r="B1065" s="3"/>
      <c r="C1065" s="3"/>
      <c r="D1065" s="3"/>
      <c r="E1065" s="6"/>
      <c r="F1065" s="6"/>
      <c r="G1065" s="6"/>
      <c r="H1065" s="34"/>
      <c r="I1065" s="6"/>
      <c r="J1065" s="6"/>
      <c r="K1065" s="94"/>
      <c r="L1065" s="40"/>
      <c r="M1065"/>
      <c r="N1065" s="6"/>
      <c r="O1065" s="8"/>
      <c r="P1065" s="8"/>
      <c r="Q1065" s="8"/>
      <c r="R1065" s="8"/>
      <c r="S1065" s="20"/>
      <c r="T1065" s="6"/>
      <c r="U1065" s="20"/>
      <c r="V1065" s="12"/>
    </row>
    <row r="1066" spans="1:22" s="53" customFormat="1" x14ac:dyDescent="0.35">
      <c r="A1066" s="2"/>
      <c r="B1066" s="3"/>
      <c r="C1066" s="3"/>
      <c r="D1066" s="3"/>
      <c r="E1066" s="6"/>
      <c r="F1066" s="6"/>
      <c r="G1066" s="6"/>
      <c r="H1066" s="98"/>
      <c r="I1066" s="6"/>
      <c r="J1066" s="6"/>
      <c r="K1066" s="94"/>
      <c r="L1066" s="40"/>
      <c r="M1066"/>
      <c r="N1066" s="6"/>
      <c r="O1066" s="8"/>
      <c r="P1066" s="8"/>
      <c r="Q1066" s="8"/>
      <c r="R1066" s="8"/>
      <c r="S1066" s="20"/>
      <c r="T1066" s="6"/>
      <c r="U1066" s="20"/>
      <c r="V1066" s="12"/>
    </row>
    <row r="1067" spans="1:22" s="53" customFormat="1" x14ac:dyDescent="0.35">
      <c r="A1067" s="2"/>
      <c r="B1067" s="3"/>
      <c r="C1067" s="3"/>
      <c r="D1067" s="3"/>
      <c r="E1067" s="6"/>
      <c r="F1067" s="13"/>
      <c r="G1067" s="6"/>
      <c r="H1067" s="98"/>
      <c r="I1067" s="94"/>
      <c r="J1067" s="94"/>
      <c r="K1067" s="95"/>
      <c r="L1067" s="40"/>
      <c r="M1067"/>
      <c r="N1067" s="99"/>
      <c r="O1067" s="11"/>
      <c r="P1067" s="11"/>
      <c r="Q1067" s="11"/>
      <c r="R1067" s="8"/>
      <c r="S1067" s="20"/>
      <c r="T1067" s="8"/>
      <c r="U1067" s="20"/>
      <c r="V1067" s="43"/>
    </row>
    <row r="1068" spans="1:22" s="53" customFormat="1" x14ac:dyDescent="0.35">
      <c r="A1068" s="2"/>
      <c r="B1068" s="3"/>
      <c r="C1068" s="3"/>
      <c r="D1068" s="3"/>
      <c r="E1068" s="6"/>
      <c r="F1068" s="6"/>
      <c r="G1068" s="6"/>
      <c r="H1068" s="98"/>
      <c r="I1068" s="94"/>
      <c r="J1068" s="94"/>
      <c r="K1068" s="95"/>
      <c r="L1068" s="40"/>
      <c r="M1068"/>
      <c r="N1068" s="99"/>
      <c r="O1068" s="11"/>
      <c r="P1068" s="11"/>
      <c r="Q1068" s="11"/>
      <c r="R1068" s="8"/>
      <c r="S1068" s="20"/>
      <c r="T1068" s="8"/>
      <c r="U1068" s="20"/>
      <c r="V1068" s="43"/>
    </row>
    <row r="1069" spans="1:22" s="53" customFormat="1" x14ac:dyDescent="0.35">
      <c r="A1069" s="2"/>
      <c r="B1069" s="3"/>
      <c r="C1069" s="3"/>
      <c r="D1069" s="3"/>
      <c r="E1069" s="13"/>
      <c r="F1069" s="6"/>
      <c r="G1069" s="6"/>
      <c r="H1069" s="98"/>
      <c r="I1069" s="94"/>
      <c r="J1069" s="94"/>
      <c r="K1069" s="95"/>
      <c r="L1069" s="40"/>
      <c r="M1069"/>
      <c r="N1069" s="99"/>
      <c r="O1069" s="11"/>
      <c r="P1069" s="11"/>
      <c r="Q1069" s="11"/>
      <c r="R1069" s="8"/>
      <c r="S1069" s="20"/>
      <c r="T1069" s="8"/>
      <c r="U1069" s="20"/>
      <c r="V1069" s="43"/>
    </row>
    <row r="1070" spans="1:22" s="53" customFormat="1" x14ac:dyDescent="0.35">
      <c r="A1070" s="2"/>
      <c r="B1070" s="3"/>
      <c r="C1070" s="3"/>
      <c r="D1070" s="3"/>
      <c r="E1070" s="6"/>
      <c r="F1070" s="13"/>
      <c r="G1070" s="6"/>
      <c r="H1070" s="98"/>
      <c r="I1070" s="39"/>
      <c r="J1070" s="94"/>
      <c r="K1070" s="95"/>
      <c r="L1070" s="40"/>
      <c r="M1070"/>
      <c r="N1070" s="99"/>
      <c r="O1070" s="11"/>
      <c r="P1070" s="11"/>
      <c r="Q1070" s="11"/>
      <c r="R1070" s="8"/>
      <c r="S1070" s="20"/>
      <c r="T1070" s="8"/>
      <c r="U1070" s="20"/>
      <c r="V1070" s="43"/>
    </row>
    <row r="1071" spans="1:22" s="53" customFormat="1" x14ac:dyDescent="0.35">
      <c r="A1071" s="2"/>
      <c r="B1071" s="3"/>
      <c r="C1071" s="3"/>
      <c r="D1071" s="3"/>
      <c r="E1071" s="6"/>
      <c r="F1071" s="6"/>
      <c r="G1071" s="6"/>
      <c r="H1071" s="98"/>
      <c r="I1071" s="94"/>
      <c r="J1071" s="94"/>
      <c r="K1071" s="95"/>
      <c r="L1071" s="40"/>
      <c r="M1071"/>
      <c r="N1071" s="10"/>
      <c r="O1071" s="11"/>
      <c r="P1071" s="11"/>
      <c r="Q1071" s="11"/>
      <c r="R1071" s="8"/>
      <c r="S1071" s="20"/>
      <c r="T1071" s="8"/>
      <c r="U1071" s="20"/>
      <c r="V1071" s="43"/>
    </row>
    <row r="1072" spans="1:22" s="53" customFormat="1" x14ac:dyDescent="0.35">
      <c r="A1072" s="2"/>
      <c r="B1072" s="3"/>
      <c r="C1072" s="3"/>
      <c r="D1072" s="3"/>
      <c r="E1072" s="6"/>
      <c r="F1072" s="6"/>
      <c r="G1072" s="6"/>
      <c r="H1072" s="98"/>
      <c r="I1072" s="94"/>
      <c r="J1072" s="94"/>
      <c r="K1072" s="95"/>
      <c r="L1072" s="40"/>
      <c r="M1072"/>
      <c r="N1072" s="99"/>
      <c r="O1072" s="11"/>
      <c r="P1072" s="11"/>
      <c r="Q1072" s="11"/>
      <c r="R1072" s="8"/>
      <c r="S1072" s="20"/>
      <c r="T1072" s="8"/>
      <c r="U1072" s="20"/>
      <c r="V1072" s="43"/>
    </row>
    <row r="1073" spans="1:22" s="53" customFormat="1" x14ac:dyDescent="0.35">
      <c r="A1073" s="2"/>
      <c r="B1073" s="3"/>
      <c r="C1073" s="3"/>
      <c r="D1073" s="3"/>
      <c r="E1073" s="6"/>
      <c r="F1073" s="6"/>
      <c r="G1073" s="6"/>
      <c r="H1073" s="98"/>
      <c r="I1073" s="94"/>
      <c r="J1073" s="94"/>
      <c r="K1073" s="95"/>
      <c r="L1073" s="40"/>
      <c r="M1073"/>
      <c r="N1073" s="99"/>
      <c r="O1073" s="11"/>
      <c r="P1073" s="11"/>
      <c r="Q1073" s="11"/>
      <c r="R1073" s="8"/>
      <c r="S1073" s="20"/>
      <c r="T1073" s="8"/>
      <c r="U1073" s="20"/>
      <c r="V1073" s="43"/>
    </row>
    <row r="1074" spans="1:22" s="53" customFormat="1" x14ac:dyDescent="0.35">
      <c r="A1074" s="2"/>
      <c r="B1074" s="3"/>
      <c r="C1074" s="3"/>
      <c r="D1074" s="3"/>
      <c r="E1074" s="6"/>
      <c r="F1074" s="6"/>
      <c r="G1074" s="6"/>
      <c r="H1074" s="98"/>
      <c r="I1074" s="94"/>
      <c r="J1074" s="94"/>
      <c r="K1074" s="95"/>
      <c r="L1074" s="40"/>
      <c r="M1074"/>
      <c r="N1074" s="10"/>
      <c r="O1074" s="11"/>
      <c r="P1074" s="11"/>
      <c r="Q1074" s="11"/>
      <c r="R1074" s="8"/>
      <c r="S1074" s="20"/>
      <c r="T1074" s="8"/>
      <c r="U1074" s="20"/>
      <c r="V1074" s="43"/>
    </row>
    <row r="1075" spans="1:22" s="53" customFormat="1" x14ac:dyDescent="0.35">
      <c r="A1075" s="2"/>
      <c r="B1075" s="3"/>
      <c r="C1075" s="3"/>
      <c r="D1075" s="3"/>
      <c r="E1075" s="6"/>
      <c r="F1075" s="6"/>
      <c r="G1075" s="6"/>
      <c r="H1075" s="98"/>
      <c r="I1075" s="94"/>
      <c r="J1075" s="94"/>
      <c r="K1075" s="95"/>
      <c r="L1075" s="40"/>
      <c r="M1075"/>
      <c r="N1075" s="99"/>
      <c r="O1075" s="11"/>
      <c r="P1075" s="11"/>
      <c r="Q1075" s="11"/>
      <c r="R1075" s="8"/>
      <c r="S1075" s="20"/>
      <c r="T1075" s="8"/>
      <c r="U1075" s="20"/>
      <c r="V1075" s="43"/>
    </row>
    <row r="1076" spans="1:22" s="53" customFormat="1" x14ac:dyDescent="0.35">
      <c r="A1076" s="2"/>
      <c r="B1076" s="3"/>
      <c r="C1076" s="3"/>
      <c r="D1076" s="3"/>
      <c r="E1076" s="6"/>
      <c r="F1076" s="6"/>
      <c r="G1076" s="6"/>
      <c r="H1076" s="98"/>
      <c r="I1076" s="94"/>
      <c r="J1076" s="94"/>
      <c r="K1076" s="95"/>
      <c r="L1076" s="40"/>
      <c r="M1076"/>
      <c r="N1076" s="99"/>
      <c r="O1076" s="11"/>
      <c r="P1076" s="11"/>
      <c r="Q1076" s="11"/>
      <c r="R1076" s="8"/>
      <c r="S1076" s="20"/>
      <c r="T1076" s="8"/>
      <c r="U1076" s="20"/>
      <c r="V1076" s="43"/>
    </row>
    <row r="1077" spans="1:22" s="53" customFormat="1" x14ac:dyDescent="0.35">
      <c r="A1077" s="2"/>
      <c r="B1077" s="3"/>
      <c r="C1077" s="3"/>
      <c r="D1077" s="3"/>
      <c r="E1077" s="6"/>
      <c r="F1077" s="6"/>
      <c r="G1077" s="6"/>
      <c r="H1077" s="98"/>
      <c r="I1077" s="94"/>
      <c r="J1077" s="94"/>
      <c r="K1077" s="95"/>
      <c r="L1077" s="40"/>
      <c r="M1077"/>
      <c r="N1077" s="99"/>
      <c r="O1077" s="11"/>
      <c r="P1077" s="11"/>
      <c r="Q1077" s="11"/>
      <c r="R1077" s="8"/>
      <c r="S1077" s="20"/>
      <c r="T1077" s="8"/>
      <c r="U1077" s="20"/>
      <c r="V1077" s="43"/>
    </row>
    <row r="1078" spans="1:22" s="53" customFormat="1" x14ac:dyDescent="0.35">
      <c r="A1078" s="2"/>
      <c r="B1078" s="3"/>
      <c r="C1078" s="3"/>
      <c r="D1078" s="3"/>
      <c r="E1078" s="6"/>
      <c r="F1078" s="6"/>
      <c r="G1078" s="6"/>
      <c r="H1078" s="98"/>
      <c r="I1078" s="39"/>
      <c r="J1078" s="94"/>
      <c r="K1078" s="95"/>
      <c r="L1078" s="40"/>
      <c r="M1078"/>
      <c r="N1078" s="99"/>
      <c r="O1078" s="11"/>
      <c r="P1078" s="11"/>
      <c r="Q1078" s="11"/>
      <c r="R1078" s="8"/>
      <c r="S1078" s="20"/>
      <c r="T1078" s="8"/>
      <c r="U1078" s="20"/>
      <c r="V1078" s="43"/>
    </row>
    <row r="1079" spans="1:22" s="53" customFormat="1" x14ac:dyDescent="0.35">
      <c r="A1079" s="2"/>
      <c r="B1079" s="3"/>
      <c r="C1079" s="3"/>
      <c r="D1079" s="3"/>
      <c r="E1079" s="6"/>
      <c r="F1079" s="6"/>
      <c r="G1079" s="6"/>
      <c r="H1079" s="98"/>
      <c r="I1079" s="94"/>
      <c r="J1079" s="94"/>
      <c r="K1079" s="95"/>
      <c r="L1079" s="40"/>
      <c r="M1079"/>
      <c r="N1079" s="99"/>
      <c r="O1079" s="11"/>
      <c r="P1079" s="11"/>
      <c r="Q1079" s="11"/>
      <c r="R1079" s="8"/>
      <c r="S1079" s="20"/>
      <c r="T1079" s="8"/>
      <c r="U1079" s="20"/>
      <c r="V1079" s="43"/>
    </row>
    <row r="1080" spans="1:22" s="53" customFormat="1" x14ac:dyDescent="0.35">
      <c r="A1080" s="2"/>
      <c r="B1080" s="3"/>
      <c r="C1080" s="3"/>
      <c r="D1080" s="3"/>
      <c r="E1080" s="6"/>
      <c r="F1080" s="6"/>
      <c r="G1080" s="6"/>
      <c r="H1080" s="98"/>
      <c r="I1080" s="94"/>
      <c r="J1080" s="94"/>
      <c r="K1080" s="95"/>
      <c r="L1080" s="40"/>
      <c r="M1080"/>
      <c r="N1080" s="99"/>
      <c r="O1080" s="11"/>
      <c r="P1080" s="11"/>
      <c r="Q1080" s="11"/>
      <c r="R1080" s="8"/>
      <c r="S1080" s="20"/>
      <c r="T1080" s="8"/>
      <c r="U1080" s="20"/>
      <c r="V1080" s="43"/>
    </row>
    <row r="1081" spans="1:22" s="53" customFormat="1" x14ac:dyDescent="0.35">
      <c r="A1081" s="2"/>
      <c r="B1081" s="3"/>
      <c r="C1081" s="3"/>
      <c r="D1081" s="3"/>
      <c r="E1081" s="6"/>
      <c r="F1081" s="6"/>
      <c r="G1081" s="6"/>
      <c r="H1081" s="98"/>
      <c r="I1081" s="94"/>
      <c r="J1081" s="94"/>
      <c r="K1081" s="95"/>
      <c r="L1081" s="40"/>
      <c r="M1081"/>
      <c r="N1081" s="99"/>
      <c r="O1081" s="11"/>
      <c r="P1081" s="11"/>
      <c r="Q1081" s="11"/>
      <c r="R1081" s="8"/>
      <c r="S1081" s="20"/>
      <c r="T1081" s="8"/>
      <c r="U1081" s="37"/>
      <c r="V1081" s="58"/>
    </row>
    <row r="1082" spans="1:22" s="53" customFormat="1" x14ac:dyDescent="0.35">
      <c r="A1082" s="2"/>
      <c r="B1082" s="3"/>
      <c r="C1082" s="3"/>
      <c r="D1082" s="3"/>
      <c r="E1082" s="6"/>
      <c r="F1082" s="6"/>
      <c r="G1082" s="6"/>
      <c r="H1082" s="98"/>
      <c r="I1082" s="94"/>
      <c r="J1082" s="94"/>
      <c r="K1082" s="95"/>
      <c r="L1082" s="40"/>
      <c r="M1082"/>
      <c r="N1082" s="99"/>
      <c r="O1082" s="11"/>
      <c r="P1082" s="11"/>
      <c r="Q1082" s="11"/>
      <c r="R1082" s="8"/>
      <c r="S1082" s="20"/>
      <c r="T1082" s="8"/>
      <c r="U1082" s="20"/>
      <c r="V1082" s="43"/>
    </row>
    <row r="1083" spans="1:22" s="53" customFormat="1" x14ac:dyDescent="0.35">
      <c r="A1083" s="2"/>
      <c r="B1083" s="3"/>
      <c r="C1083" s="3"/>
      <c r="D1083" s="3"/>
      <c r="E1083" s="6"/>
      <c r="F1083" s="6"/>
      <c r="G1083" s="6"/>
      <c r="H1083" s="98"/>
      <c r="I1083" s="94"/>
      <c r="J1083" s="94"/>
      <c r="K1083" s="95"/>
      <c r="L1083" s="40"/>
      <c r="M1083"/>
      <c r="N1083" s="99"/>
      <c r="O1083" s="11"/>
      <c r="P1083" s="11"/>
      <c r="Q1083" s="11"/>
      <c r="R1083" s="8"/>
      <c r="S1083" s="20"/>
      <c r="T1083" s="8"/>
      <c r="U1083" s="20"/>
      <c r="V1083" s="12"/>
    </row>
    <row r="1084" spans="1:22" s="53" customFormat="1" x14ac:dyDescent="0.35">
      <c r="A1084" s="2"/>
      <c r="B1084" s="3"/>
      <c r="C1084" s="3"/>
      <c r="D1084" s="3"/>
      <c r="E1084" s="6"/>
      <c r="F1084" s="6"/>
      <c r="G1084" s="6"/>
      <c r="H1084" s="98"/>
      <c r="I1084" s="94"/>
      <c r="J1084" s="94"/>
      <c r="K1084" s="95"/>
      <c r="L1084" s="40"/>
      <c r="M1084"/>
      <c r="N1084" s="99"/>
      <c r="O1084" s="11"/>
      <c r="P1084" s="11"/>
      <c r="Q1084" s="11"/>
      <c r="R1084" s="8"/>
      <c r="S1084" s="20"/>
      <c r="T1084" s="8"/>
      <c r="U1084" s="20"/>
      <c r="V1084" s="43"/>
    </row>
    <row r="1085" spans="1:22" s="53" customFormat="1" x14ac:dyDescent="0.35">
      <c r="A1085" s="2"/>
      <c r="B1085" s="3"/>
      <c r="C1085" s="3"/>
      <c r="D1085" s="3"/>
      <c r="E1085" s="6"/>
      <c r="F1085" s="6"/>
      <c r="G1085" s="6"/>
      <c r="H1085" s="98"/>
      <c r="I1085" s="94"/>
      <c r="J1085" s="94"/>
      <c r="K1085" s="95"/>
      <c r="L1085" s="40"/>
      <c r="M1085"/>
      <c r="N1085" s="99"/>
      <c r="O1085" s="11"/>
      <c r="P1085" s="11"/>
      <c r="Q1085" s="11"/>
      <c r="R1085" s="8"/>
      <c r="S1085" s="20"/>
      <c r="T1085" s="8"/>
      <c r="U1085" s="20"/>
      <c r="V1085" s="43"/>
    </row>
    <row r="1086" spans="1:22" s="53" customFormat="1" x14ac:dyDescent="0.35">
      <c r="A1086" s="2"/>
      <c r="B1086" s="3"/>
      <c r="C1086" s="3"/>
      <c r="D1086" s="3"/>
      <c r="E1086" s="6"/>
      <c r="F1086" s="6"/>
      <c r="G1086" s="6"/>
      <c r="H1086" s="98"/>
      <c r="I1086" s="39"/>
      <c r="J1086" s="39"/>
      <c r="K1086" s="95"/>
      <c r="L1086" s="40"/>
      <c r="M1086"/>
      <c r="N1086" s="99"/>
      <c r="O1086" s="11"/>
      <c r="P1086" s="11"/>
      <c r="Q1086" s="11"/>
      <c r="R1086" s="8"/>
      <c r="S1086" s="20"/>
      <c r="T1086" s="8"/>
      <c r="U1086" s="20"/>
      <c r="V1086" s="43"/>
    </row>
    <row r="1087" spans="1:22" s="53" customFormat="1" x14ac:dyDescent="0.35">
      <c r="A1087" s="2"/>
      <c r="B1087" s="3"/>
      <c r="C1087" s="3"/>
      <c r="D1087" s="3"/>
      <c r="E1087" s="6"/>
      <c r="F1087" s="6"/>
      <c r="G1087" s="6"/>
      <c r="H1087" s="98"/>
      <c r="I1087" s="94"/>
      <c r="J1087" s="94"/>
      <c r="K1087" s="95"/>
      <c r="L1087" s="40"/>
      <c r="M1087"/>
      <c r="N1087" s="99"/>
      <c r="O1087" s="11"/>
      <c r="P1087" s="11"/>
      <c r="Q1087" s="11"/>
      <c r="R1087" s="8"/>
      <c r="S1087" s="20"/>
      <c r="T1087" s="8"/>
      <c r="U1087" s="20"/>
      <c r="V1087" s="12"/>
    </row>
    <row r="1088" spans="1:22" s="53" customFormat="1" x14ac:dyDescent="0.35">
      <c r="A1088" s="2"/>
      <c r="B1088" s="3"/>
      <c r="C1088" s="3"/>
      <c r="D1088" s="3"/>
      <c r="E1088" s="6"/>
      <c r="F1088" s="6"/>
      <c r="G1088" s="6"/>
      <c r="H1088" s="98"/>
      <c r="I1088" s="94"/>
      <c r="J1088" s="94"/>
      <c r="K1088" s="95"/>
      <c r="L1088" s="40"/>
      <c r="M1088"/>
      <c r="N1088" s="99"/>
      <c r="O1088" s="11"/>
      <c r="P1088" s="11"/>
      <c r="Q1088" s="11"/>
      <c r="R1088" s="8"/>
      <c r="S1088" s="20"/>
      <c r="T1088" s="8"/>
      <c r="U1088" s="20"/>
      <c r="V1088" s="43"/>
    </row>
    <row r="1089" spans="1:22" s="53" customFormat="1" x14ac:dyDescent="0.35">
      <c r="A1089" s="2"/>
      <c r="B1089" s="3"/>
      <c r="C1089" s="3"/>
      <c r="D1089" s="3"/>
      <c r="E1089" s="6"/>
      <c r="F1089" s="6"/>
      <c r="G1089" s="6"/>
      <c r="H1089" s="98"/>
      <c r="I1089" s="94"/>
      <c r="J1089" s="94"/>
      <c r="K1089" s="95"/>
      <c r="L1089" s="40"/>
      <c r="M1089"/>
      <c r="N1089" s="99"/>
      <c r="O1089" s="11"/>
      <c r="P1089" s="11"/>
      <c r="Q1089" s="11"/>
      <c r="R1089" s="8"/>
      <c r="S1089" s="20"/>
      <c r="T1089" s="8"/>
      <c r="U1089" s="20"/>
      <c r="V1089" s="43"/>
    </row>
    <row r="1090" spans="1:22" s="53" customFormat="1" x14ac:dyDescent="0.35">
      <c r="A1090" s="2"/>
      <c r="B1090" s="3"/>
      <c r="C1090" s="3"/>
      <c r="D1090" s="3"/>
      <c r="E1090" s="6"/>
      <c r="F1090" s="6"/>
      <c r="G1090" s="13"/>
      <c r="H1090" s="98"/>
      <c r="I1090" s="94"/>
      <c r="J1090" s="94"/>
      <c r="K1090" s="95"/>
      <c r="L1090" s="40"/>
      <c r="M1090"/>
      <c r="N1090" s="99"/>
      <c r="O1090" s="11"/>
      <c r="P1090" s="11"/>
      <c r="Q1090" s="11"/>
      <c r="R1090" s="8"/>
      <c r="S1090" s="20"/>
      <c r="T1090" s="8"/>
      <c r="U1090" s="20"/>
      <c r="V1090" s="43"/>
    </row>
    <row r="1091" spans="1:22" s="53" customFormat="1" x14ac:dyDescent="0.35">
      <c r="A1091" s="2"/>
      <c r="B1091" s="3"/>
      <c r="C1091" s="3"/>
      <c r="D1091" s="3"/>
      <c r="E1091" s="6"/>
      <c r="F1091" s="6"/>
      <c r="G1091" s="6"/>
      <c r="H1091" s="98"/>
      <c r="I1091" s="94"/>
      <c r="J1091" s="94"/>
      <c r="K1091" s="95"/>
      <c r="L1091" s="40"/>
      <c r="M1091"/>
      <c r="N1091" s="99"/>
      <c r="O1091" s="11"/>
      <c r="P1091" s="11"/>
      <c r="Q1091" s="11"/>
      <c r="R1091" s="8"/>
      <c r="S1091" s="20"/>
      <c r="T1091" s="8"/>
      <c r="U1091" s="20"/>
      <c r="V1091" s="43"/>
    </row>
    <row r="1092" spans="1:22" s="53" customFormat="1" x14ac:dyDescent="0.35">
      <c r="A1092" s="2"/>
      <c r="B1092" s="3"/>
      <c r="C1092" s="3"/>
      <c r="D1092" s="3"/>
      <c r="E1092" s="6"/>
      <c r="F1092" s="6"/>
      <c r="G1092" s="6"/>
      <c r="H1092" s="98"/>
      <c r="I1092" s="94"/>
      <c r="J1092" s="94"/>
      <c r="K1092" s="95"/>
      <c r="L1092" s="40"/>
      <c r="M1092"/>
      <c r="N1092" s="99"/>
      <c r="O1092" s="11"/>
      <c r="P1092" s="11"/>
      <c r="Q1092" s="11"/>
      <c r="R1092" s="8"/>
      <c r="S1092" s="20"/>
      <c r="T1092" s="8"/>
      <c r="U1092" s="20"/>
      <c r="V1092" s="12"/>
    </row>
    <row r="1093" spans="1:22" s="53" customFormat="1" x14ac:dyDescent="0.35">
      <c r="A1093" s="2"/>
      <c r="B1093" s="3"/>
      <c r="C1093" s="3"/>
      <c r="D1093" s="3"/>
      <c r="E1093" s="6"/>
      <c r="F1093" s="6"/>
      <c r="G1093" s="6"/>
      <c r="H1093" s="98"/>
      <c r="I1093" s="94"/>
      <c r="J1093" s="94"/>
      <c r="K1093" s="95"/>
      <c r="L1093" s="40"/>
      <c r="M1093"/>
      <c r="N1093" s="99"/>
      <c r="O1093" s="11"/>
      <c r="P1093" s="11"/>
      <c r="Q1093" s="11"/>
      <c r="R1093" s="8"/>
      <c r="S1093" s="20"/>
      <c r="T1093" s="8"/>
      <c r="U1093" s="20"/>
      <c r="V1093" s="12"/>
    </row>
    <row r="1094" spans="1:22" s="53" customFormat="1" x14ac:dyDescent="0.35">
      <c r="A1094" s="2"/>
      <c r="B1094" s="3"/>
      <c r="C1094" s="3"/>
      <c r="D1094" s="3"/>
      <c r="E1094" s="6"/>
      <c r="F1094" s="6"/>
      <c r="G1094" s="6"/>
      <c r="H1094" s="98"/>
      <c r="I1094" s="94"/>
      <c r="J1094" s="94"/>
      <c r="K1094" s="95"/>
      <c r="L1094" s="40"/>
      <c r="M1094"/>
      <c r="N1094" s="99"/>
      <c r="O1094" s="11"/>
      <c r="P1094" s="11"/>
      <c r="Q1094" s="11"/>
      <c r="R1094" s="8"/>
      <c r="S1094" s="20"/>
      <c r="T1094" s="8"/>
      <c r="U1094" s="20"/>
      <c r="V1094" s="12"/>
    </row>
    <row r="1095" spans="1:22" s="53" customFormat="1" x14ac:dyDescent="0.35">
      <c r="A1095" s="2"/>
      <c r="B1095" s="3"/>
      <c r="C1095" s="3"/>
      <c r="D1095" s="3"/>
      <c r="E1095" s="6"/>
      <c r="F1095" s="6"/>
      <c r="G1095" s="6"/>
      <c r="H1095" s="98"/>
      <c r="I1095" s="94"/>
      <c r="J1095" s="94"/>
      <c r="K1095" s="95"/>
      <c r="L1095" s="40"/>
      <c r="M1095"/>
      <c r="N1095" s="99"/>
      <c r="O1095" s="11"/>
      <c r="P1095" s="11"/>
      <c r="Q1095" s="11"/>
      <c r="R1095" s="8"/>
      <c r="S1095" s="20"/>
      <c r="T1095" s="8"/>
      <c r="U1095" s="20"/>
      <c r="V1095" s="12"/>
    </row>
    <row r="1096" spans="1:22" s="53" customFormat="1" x14ac:dyDescent="0.35">
      <c r="A1096" s="2"/>
      <c r="B1096" s="3"/>
      <c r="C1096" s="3"/>
      <c r="D1096" s="3"/>
      <c r="E1096" s="6"/>
      <c r="F1096" s="6"/>
      <c r="G1096" s="6"/>
      <c r="H1096" s="98"/>
      <c r="I1096" s="94"/>
      <c r="J1096" s="94"/>
      <c r="K1096" s="95"/>
      <c r="L1096" s="40"/>
      <c r="M1096"/>
      <c r="N1096" s="99"/>
      <c r="O1096" s="11"/>
      <c r="P1096" s="11"/>
      <c r="Q1096" s="11"/>
      <c r="R1096" s="8"/>
      <c r="S1096" s="20"/>
      <c r="T1096" s="8"/>
      <c r="U1096" s="20"/>
      <c r="V1096" s="12"/>
    </row>
    <row r="1097" spans="1:22" s="53" customFormat="1" x14ac:dyDescent="0.35">
      <c r="A1097" s="2"/>
      <c r="B1097" s="3"/>
      <c r="C1097" s="3"/>
      <c r="D1097" s="3"/>
      <c r="E1097" s="6"/>
      <c r="F1097" s="6"/>
      <c r="G1097" s="6"/>
      <c r="H1097" s="98"/>
      <c r="I1097" s="94"/>
      <c r="J1097" s="94"/>
      <c r="K1097" s="95"/>
      <c r="L1097" s="40"/>
      <c r="M1097"/>
      <c r="N1097" s="99"/>
      <c r="O1097" s="11"/>
      <c r="P1097" s="11"/>
      <c r="Q1097" s="11"/>
      <c r="R1097" s="8"/>
      <c r="S1097" s="20"/>
      <c r="T1097" s="8"/>
      <c r="U1097" s="20"/>
      <c r="V1097" s="12"/>
    </row>
    <row r="1098" spans="1:22" s="53" customFormat="1" x14ac:dyDescent="0.35">
      <c r="A1098" s="2"/>
      <c r="B1098" s="3"/>
      <c r="C1098" s="3"/>
      <c r="D1098" s="3"/>
      <c r="E1098" s="6"/>
      <c r="F1098" s="6"/>
      <c r="G1098" s="13"/>
      <c r="H1098" s="34"/>
      <c r="I1098" s="13"/>
      <c r="J1098" s="13"/>
      <c r="K1098" s="15"/>
      <c r="L1098" s="20"/>
      <c r="M1098" s="51"/>
      <c r="N1098" s="13"/>
      <c r="O1098" s="6"/>
      <c r="P1098" s="6"/>
      <c r="Q1098" s="6"/>
      <c r="R1098" s="8"/>
      <c r="S1098" s="20"/>
      <c r="T1098" s="6"/>
      <c r="U1098" s="20"/>
      <c r="V1098" s="43"/>
    </row>
    <row r="1099" spans="1:22" s="53" customFormat="1" x14ac:dyDescent="0.35">
      <c r="A1099" s="2"/>
      <c r="B1099" s="3"/>
      <c r="C1099" s="3"/>
      <c r="D1099" s="3"/>
      <c r="E1099" s="6"/>
      <c r="F1099" s="13"/>
      <c r="G1099" s="6"/>
      <c r="H1099" s="98"/>
      <c r="I1099" s="13"/>
      <c r="J1099" s="13"/>
      <c r="K1099" s="19"/>
      <c r="L1099" s="20"/>
      <c r="M1099" s="51"/>
      <c r="N1099" s="6"/>
      <c r="O1099" s="6"/>
      <c r="P1099" s="6"/>
      <c r="Q1099" s="6"/>
      <c r="R1099" s="6"/>
      <c r="S1099" s="6"/>
      <c r="T1099" s="6"/>
      <c r="U1099" s="12"/>
      <c r="V1099" s="43"/>
    </row>
    <row r="1100" spans="1:22" s="53" customFormat="1" x14ac:dyDescent="0.35">
      <c r="A1100" s="2"/>
      <c r="B1100" s="3"/>
      <c r="C1100" s="3"/>
      <c r="D1100" s="3"/>
      <c r="E1100" s="6"/>
      <c r="F1100" s="13"/>
      <c r="G1100" s="13"/>
      <c r="H1100" s="34"/>
      <c r="I1100" s="13"/>
      <c r="J1100" s="13"/>
      <c r="K1100" s="15"/>
      <c r="L1100" s="20"/>
      <c r="M1100" s="51"/>
      <c r="N1100" s="6"/>
      <c r="O1100" s="6"/>
      <c r="P1100" s="6"/>
      <c r="Q1100" s="6"/>
      <c r="R1100" s="6"/>
      <c r="S1100" s="6"/>
      <c r="T1100" s="6"/>
      <c r="U1100" s="12"/>
      <c r="V1100" s="43"/>
    </row>
    <row r="1101" spans="1:22" s="53" customFormat="1" x14ac:dyDescent="0.35">
      <c r="A1101" s="2"/>
      <c r="B1101" s="3"/>
      <c r="C1101" s="3"/>
      <c r="D1101" s="3"/>
      <c r="E1101" s="13"/>
      <c r="F1101" s="6"/>
      <c r="G1101" s="13"/>
      <c r="H1101" s="34"/>
      <c r="I1101" s="13"/>
      <c r="J1101" s="13"/>
      <c r="K1101" s="19"/>
      <c r="L1101" s="20"/>
      <c r="M1101" s="51"/>
      <c r="N1101" s="6"/>
      <c r="O1101" s="6"/>
      <c r="P1101" s="6"/>
      <c r="Q1101" s="6"/>
      <c r="R1101" s="6"/>
      <c r="S1101" s="6"/>
      <c r="T1101" s="6"/>
      <c r="U1101" s="12"/>
      <c r="V1101" s="43"/>
    </row>
    <row r="1102" spans="1:22" s="53" customFormat="1" x14ac:dyDescent="0.35">
      <c r="A1102" s="2"/>
      <c r="B1102" s="3"/>
      <c r="C1102" s="3"/>
      <c r="D1102" s="3"/>
      <c r="E1102" s="13"/>
      <c r="F1102" s="6"/>
      <c r="G1102" s="13"/>
      <c r="H1102" s="34"/>
      <c r="I1102" s="13"/>
      <c r="J1102" s="13"/>
      <c r="K1102" s="15"/>
      <c r="L1102" s="20"/>
      <c r="M1102" s="51"/>
      <c r="N1102" s="13"/>
      <c r="O1102" s="6"/>
      <c r="P1102" s="6"/>
      <c r="Q1102" s="6"/>
      <c r="R1102" s="8"/>
      <c r="S1102" s="8"/>
      <c r="T1102" s="6"/>
      <c r="U1102" s="20"/>
      <c r="V1102" s="43"/>
    </row>
    <row r="1103" spans="1:22" s="53" customFormat="1" x14ac:dyDescent="0.35">
      <c r="A1103" s="2"/>
      <c r="B1103" s="3"/>
      <c r="C1103" s="3"/>
      <c r="D1103" s="3"/>
      <c r="E1103" s="13"/>
      <c r="F1103" s="13"/>
      <c r="G1103" s="13"/>
      <c r="H1103" s="34"/>
      <c r="I1103" s="13"/>
      <c r="J1103" s="13"/>
      <c r="K1103" s="15"/>
      <c r="L1103" s="20"/>
      <c r="M1103" s="51"/>
      <c r="N1103" s="6"/>
      <c r="O1103" s="6"/>
      <c r="P1103" s="6"/>
      <c r="Q1103" s="6"/>
      <c r="R1103" s="8"/>
      <c r="S1103" s="8"/>
      <c r="T1103" s="6"/>
      <c r="U1103" s="20"/>
      <c r="V1103" s="43"/>
    </row>
    <row r="1104" spans="1:22" s="53" customFormat="1" x14ac:dyDescent="0.35">
      <c r="A1104" s="2"/>
      <c r="B1104" s="3"/>
      <c r="C1104" s="3"/>
      <c r="D1104" s="3"/>
      <c r="E1104" s="13"/>
      <c r="F1104" s="13"/>
      <c r="G1104" s="13"/>
      <c r="H1104" s="34"/>
      <c r="I1104" s="13"/>
      <c r="J1104" s="13"/>
      <c r="K1104" s="15"/>
      <c r="L1104" s="20"/>
      <c r="M1104" s="51"/>
      <c r="N1104" s="13"/>
      <c r="O1104" s="6"/>
      <c r="P1104" s="6"/>
      <c r="Q1104" s="6"/>
      <c r="R1104" s="8"/>
      <c r="S1104" s="8"/>
      <c r="T1104" s="6"/>
      <c r="U1104" s="20"/>
      <c r="V1104" s="43"/>
    </row>
    <row r="1105" spans="1:22" s="53" customFormat="1" x14ac:dyDescent="0.35">
      <c r="A1105" s="2"/>
      <c r="B1105" s="3"/>
      <c r="C1105" s="3"/>
      <c r="D1105" s="3"/>
      <c r="E1105" s="6"/>
      <c r="F1105" s="13"/>
      <c r="G1105" s="13"/>
      <c r="H1105" s="34"/>
      <c r="I1105" s="13"/>
      <c r="J1105" s="13"/>
      <c r="K1105" s="15"/>
      <c r="L1105" s="20"/>
      <c r="M1105" s="51"/>
      <c r="N1105" s="13"/>
      <c r="O1105" s="6"/>
      <c r="P1105" s="6"/>
      <c r="Q1105" s="6"/>
      <c r="R1105" s="8"/>
      <c r="S1105" s="8"/>
      <c r="T1105" s="6"/>
      <c r="U1105" s="20"/>
      <c r="V1105" s="43"/>
    </row>
    <row r="1106" spans="1:22" s="53" customFormat="1" x14ac:dyDescent="0.35">
      <c r="A1106" s="2"/>
      <c r="B1106" s="3"/>
      <c r="C1106" s="3"/>
      <c r="D1106" s="3"/>
      <c r="E1106" s="13"/>
      <c r="F1106" s="6"/>
      <c r="G1106" s="13"/>
      <c r="H1106" s="34"/>
      <c r="I1106" s="13"/>
      <c r="J1106" s="13"/>
      <c r="K1106" s="15"/>
      <c r="L1106" s="20"/>
      <c r="M1106" s="51"/>
      <c r="N1106" s="6"/>
      <c r="O1106" s="6"/>
      <c r="P1106" s="6"/>
      <c r="Q1106" s="6"/>
      <c r="R1106" s="8"/>
      <c r="S1106" s="8"/>
      <c r="T1106" s="6"/>
      <c r="U1106" s="20"/>
      <c r="V1106" s="43"/>
    </row>
    <row r="1107" spans="1:22" s="53" customFormat="1" x14ac:dyDescent="0.35">
      <c r="A1107" s="2"/>
      <c r="B1107" s="3"/>
      <c r="C1107" s="3"/>
      <c r="D1107" s="3"/>
      <c r="E1107" s="13"/>
      <c r="F1107" s="13"/>
      <c r="G1107" s="13"/>
      <c r="H1107" s="98"/>
      <c r="I1107" s="13"/>
      <c r="J1107" s="6"/>
      <c r="K1107" s="15"/>
      <c r="L1107" s="22"/>
      <c r="M1107" s="51"/>
      <c r="N1107" s="13"/>
      <c r="O1107" s="6"/>
      <c r="P1107" s="6"/>
      <c r="Q1107" s="6"/>
      <c r="R1107" s="8"/>
      <c r="S1107" s="8"/>
      <c r="T1107" s="6"/>
      <c r="U1107" s="20"/>
      <c r="V1107" s="43"/>
    </row>
    <row r="1108" spans="1:22" s="53" customFormat="1" x14ac:dyDescent="0.35">
      <c r="A1108" s="2"/>
      <c r="B1108" s="3"/>
      <c r="C1108" s="3"/>
      <c r="D1108" s="3"/>
      <c r="E1108" s="6"/>
      <c r="F1108" s="13"/>
      <c r="G1108" s="13"/>
      <c r="H1108" s="34"/>
      <c r="I1108" s="13"/>
      <c r="J1108" s="13"/>
      <c r="K1108" s="15"/>
      <c r="L1108" s="20"/>
      <c r="M1108" s="51"/>
      <c r="N1108" s="13"/>
      <c r="O1108" s="6"/>
      <c r="P1108" s="6"/>
      <c r="Q1108" s="6"/>
      <c r="R1108" s="8"/>
      <c r="S1108" s="8"/>
      <c r="T1108" s="6"/>
      <c r="U1108" s="20"/>
      <c r="V1108" s="43"/>
    </row>
    <row r="1109" spans="1:22" s="53" customFormat="1" x14ac:dyDescent="0.35">
      <c r="A1109" s="2"/>
      <c r="B1109" s="3"/>
      <c r="C1109" s="3"/>
      <c r="D1109" s="3"/>
      <c r="E1109" s="13"/>
      <c r="F1109" s="13"/>
      <c r="G1109" s="13"/>
      <c r="H1109" s="34"/>
      <c r="I1109" s="13"/>
      <c r="J1109" s="13"/>
      <c r="K1109" s="19"/>
      <c r="L1109" s="22"/>
      <c r="M1109" s="51"/>
      <c r="N1109" s="13"/>
      <c r="O1109" s="6"/>
      <c r="P1109" s="6"/>
      <c r="Q1109" s="6"/>
      <c r="R1109" s="8"/>
      <c r="S1109" s="8"/>
      <c r="T1109" s="6"/>
      <c r="U1109" s="20"/>
      <c r="V1109" s="43"/>
    </row>
    <row r="1110" spans="1:22" s="53" customFormat="1" x14ac:dyDescent="0.35">
      <c r="A1110" s="2"/>
      <c r="B1110" s="3"/>
      <c r="C1110" s="3"/>
      <c r="D1110" s="3"/>
      <c r="E1110" s="13"/>
      <c r="F1110" s="13"/>
      <c r="G1110" s="13"/>
      <c r="H1110" s="34"/>
      <c r="I1110" s="13"/>
      <c r="J1110" s="13"/>
      <c r="K1110" s="15"/>
      <c r="L1110" s="20"/>
      <c r="M1110" s="51"/>
      <c r="N1110" s="13"/>
      <c r="O1110" s="6"/>
      <c r="P1110" s="6"/>
      <c r="Q1110" s="6"/>
      <c r="R1110" s="8"/>
      <c r="S1110" s="8"/>
      <c r="T1110" s="6"/>
      <c r="U1110" s="20"/>
      <c r="V1110" s="43"/>
    </row>
    <row r="1111" spans="1:22" s="53" customFormat="1" x14ac:dyDescent="0.35">
      <c r="A1111" s="2"/>
      <c r="B1111" s="3"/>
      <c r="C1111" s="3"/>
      <c r="D1111" s="3"/>
      <c r="E1111" s="13"/>
      <c r="F1111" s="13"/>
      <c r="G1111" s="13"/>
      <c r="H1111" s="34"/>
      <c r="I1111" s="13"/>
      <c r="J1111" s="6"/>
      <c r="K1111" s="15"/>
      <c r="L1111" s="20"/>
      <c r="M1111" s="51"/>
      <c r="N1111" s="6"/>
      <c r="O1111" s="6"/>
      <c r="P1111" s="6"/>
      <c r="Q1111" s="6"/>
      <c r="R1111" s="8"/>
      <c r="S1111" s="8"/>
      <c r="T1111" s="6"/>
      <c r="U1111" s="20"/>
      <c r="V1111" s="43"/>
    </row>
    <row r="1112" spans="1:22" s="53" customFormat="1" x14ac:dyDescent="0.35">
      <c r="A1112" s="2"/>
      <c r="B1112" s="3"/>
      <c r="C1112" s="3"/>
      <c r="D1112" s="3"/>
      <c r="E1112" s="6"/>
      <c r="F1112" s="13"/>
      <c r="G1112" s="13"/>
      <c r="H1112" s="34"/>
      <c r="I1112" s="13"/>
      <c r="J1112" s="13"/>
      <c r="K1112" s="92"/>
      <c r="L1112" s="20"/>
      <c r="M1112" s="51"/>
      <c r="N1112" s="13"/>
      <c r="O1112" s="6"/>
      <c r="P1112" s="6"/>
      <c r="Q1112" s="6"/>
      <c r="R1112" s="8"/>
      <c r="S1112" s="8"/>
      <c r="T1112" s="6"/>
      <c r="U1112" s="37"/>
      <c r="V1112" s="58"/>
    </row>
    <row r="1113" spans="1:22" s="53" customFormat="1" x14ac:dyDescent="0.35">
      <c r="A1113" s="2"/>
      <c r="B1113" s="3"/>
      <c r="C1113" s="3"/>
      <c r="D1113" s="3"/>
      <c r="E1113" s="6"/>
      <c r="F1113" s="13"/>
      <c r="G1113" s="13"/>
      <c r="H1113" s="34"/>
      <c r="I1113" s="13"/>
      <c r="J1113" s="13"/>
      <c r="K1113" s="15"/>
      <c r="L1113" s="20"/>
      <c r="M1113" s="51"/>
      <c r="N1113" s="13"/>
      <c r="O1113" s="6"/>
      <c r="P1113" s="6"/>
      <c r="Q1113" s="6"/>
      <c r="R1113" s="8"/>
      <c r="S1113" s="8"/>
      <c r="T1113" s="6"/>
      <c r="U1113" s="20"/>
      <c r="V1113" s="43"/>
    </row>
    <row r="1114" spans="1:22" s="53" customFormat="1" x14ac:dyDescent="0.35">
      <c r="A1114" s="2"/>
      <c r="B1114" s="3"/>
      <c r="C1114" s="3"/>
      <c r="D1114" s="3"/>
      <c r="E1114" s="6"/>
      <c r="F1114" s="13"/>
      <c r="G1114" s="6"/>
      <c r="H1114" s="34"/>
      <c r="I1114" s="6"/>
      <c r="J1114" s="13"/>
      <c r="K1114" s="15"/>
      <c r="L1114" s="20"/>
      <c r="M1114" s="51"/>
      <c r="N1114" s="13"/>
      <c r="O1114" s="6"/>
      <c r="P1114" s="6"/>
      <c r="Q1114" s="6"/>
      <c r="R1114" s="8"/>
      <c r="S1114" s="8"/>
      <c r="T1114" s="6"/>
      <c r="U1114" s="20"/>
      <c r="V1114" s="12"/>
    </row>
    <row r="1115" spans="1:22" s="53" customFormat="1" x14ac:dyDescent="0.35">
      <c r="A1115" s="2"/>
      <c r="B1115" s="3"/>
      <c r="C1115" s="3"/>
      <c r="D1115" s="3"/>
      <c r="E1115" s="13"/>
      <c r="F1115" s="13"/>
      <c r="G1115" s="13"/>
      <c r="H1115" s="34"/>
      <c r="I1115" s="13"/>
      <c r="J1115" s="13"/>
      <c r="K1115" s="15"/>
      <c r="L1115" s="20"/>
      <c r="M1115" s="51"/>
      <c r="N1115" s="13"/>
      <c r="O1115" s="6"/>
      <c r="P1115" s="6"/>
      <c r="Q1115" s="6"/>
      <c r="R1115" s="8"/>
      <c r="S1115" s="8"/>
      <c r="T1115" s="6"/>
      <c r="U1115" s="20"/>
      <c r="V1115" s="43"/>
    </row>
    <row r="1116" spans="1:22" s="53" customFormat="1" x14ac:dyDescent="0.35">
      <c r="A1116" s="2"/>
      <c r="B1116" s="3"/>
      <c r="C1116" s="3"/>
      <c r="D1116" s="3"/>
      <c r="E1116" s="13"/>
      <c r="F1116" s="13"/>
      <c r="G1116" s="13"/>
      <c r="H1116" s="34"/>
      <c r="I1116" s="13"/>
      <c r="J1116" s="6"/>
      <c r="K1116" s="15"/>
      <c r="L1116" s="20"/>
      <c r="M1116" s="51"/>
      <c r="N1116" s="13"/>
      <c r="O1116" s="6"/>
      <c r="P1116" s="6"/>
      <c r="Q1116" s="6"/>
      <c r="R1116" s="8"/>
      <c r="S1116" s="8"/>
      <c r="T1116" s="6"/>
      <c r="U1116" s="20"/>
      <c r="V1116" s="43"/>
    </row>
    <row r="1117" spans="1:22" s="53" customFormat="1" x14ac:dyDescent="0.35">
      <c r="A1117" s="2"/>
      <c r="B1117" s="3"/>
      <c r="C1117" s="3"/>
      <c r="D1117" s="3"/>
      <c r="E1117" s="6"/>
      <c r="F1117" s="13"/>
      <c r="G1117" s="13"/>
      <c r="H1117" s="34"/>
      <c r="I1117" s="13"/>
      <c r="J1117" s="6"/>
      <c r="K1117" s="15"/>
      <c r="L1117" s="20"/>
      <c r="M1117" s="51"/>
      <c r="N1117" s="13"/>
      <c r="O1117" s="6"/>
      <c r="P1117" s="6"/>
      <c r="Q1117" s="6"/>
      <c r="R1117" s="8"/>
      <c r="S1117" s="8"/>
      <c r="T1117" s="6"/>
      <c r="U1117" s="20"/>
      <c r="V1117" s="12"/>
    </row>
    <row r="1118" spans="1:22" s="53" customFormat="1" x14ac:dyDescent="0.35">
      <c r="A1118" s="2"/>
      <c r="B1118" s="3"/>
      <c r="C1118" s="3"/>
      <c r="D1118" s="3"/>
      <c r="E1118" s="13"/>
      <c r="F1118" s="13"/>
      <c r="G1118" s="13"/>
      <c r="H1118" s="98"/>
      <c r="I1118" s="13"/>
      <c r="J1118" s="13"/>
      <c r="K1118" s="15"/>
      <c r="L1118" s="20"/>
      <c r="M1118" s="51"/>
      <c r="N1118" s="13"/>
      <c r="O1118" s="6"/>
      <c r="P1118" s="6"/>
      <c r="Q1118" s="6"/>
      <c r="R1118" s="8"/>
      <c r="S1118" s="8"/>
      <c r="T1118" s="6"/>
      <c r="U1118" s="20"/>
      <c r="V1118" s="12"/>
    </row>
    <row r="1119" spans="1:22" s="53" customFormat="1" x14ac:dyDescent="0.35">
      <c r="A1119" s="2"/>
      <c r="B1119" s="3"/>
      <c r="C1119" s="3"/>
      <c r="D1119" s="3"/>
      <c r="E1119" s="13"/>
      <c r="F1119" s="13"/>
      <c r="G1119" s="13"/>
      <c r="H1119" s="34"/>
      <c r="I1119" s="13"/>
      <c r="J1119" s="13"/>
      <c r="K1119" s="19"/>
      <c r="L1119" s="20"/>
      <c r="M1119" s="51"/>
      <c r="N1119" s="13"/>
      <c r="O1119" s="6"/>
      <c r="P1119" s="6"/>
      <c r="Q1119" s="6"/>
      <c r="R1119" s="8"/>
      <c r="S1119" s="8"/>
      <c r="T1119" s="6"/>
      <c r="U1119" s="20"/>
      <c r="V1119" s="43"/>
    </row>
    <row r="1120" spans="1:22" s="53" customFormat="1" x14ac:dyDescent="0.35">
      <c r="A1120" s="2"/>
      <c r="B1120" s="3"/>
      <c r="C1120" s="3"/>
      <c r="D1120" s="3"/>
      <c r="E1120" s="13"/>
      <c r="F1120" s="13"/>
      <c r="G1120" s="13"/>
      <c r="H1120" s="34"/>
      <c r="I1120" s="13"/>
      <c r="J1120" s="13"/>
      <c r="K1120" s="15"/>
      <c r="L1120" s="20"/>
      <c r="M1120" s="51"/>
      <c r="N1120" s="13"/>
      <c r="O1120" s="6"/>
      <c r="P1120" s="6"/>
      <c r="Q1120" s="6"/>
      <c r="R1120" s="8"/>
      <c r="S1120" s="8"/>
      <c r="T1120" s="6"/>
      <c r="U1120" s="20"/>
      <c r="V1120" s="43"/>
    </row>
    <row r="1121" spans="1:22" s="53" customFormat="1" x14ac:dyDescent="0.35">
      <c r="A1121" s="2"/>
      <c r="B1121" s="3"/>
      <c r="C1121" s="3"/>
      <c r="D1121" s="3"/>
      <c r="E1121" s="6"/>
      <c r="F1121" s="13"/>
      <c r="G1121" s="13"/>
      <c r="H1121" s="34"/>
      <c r="I1121" s="13"/>
      <c r="J1121" s="13"/>
      <c r="K1121" s="15"/>
      <c r="L1121" s="20"/>
      <c r="M1121" s="51"/>
      <c r="N1121" s="13"/>
      <c r="O1121" s="6"/>
      <c r="P1121" s="6"/>
      <c r="Q1121" s="6"/>
      <c r="R1121" s="8"/>
      <c r="S1121" s="8"/>
      <c r="T1121" s="6"/>
      <c r="U1121" s="20"/>
      <c r="V1121" s="43"/>
    </row>
    <row r="1122" spans="1:22" s="53" customFormat="1" x14ac:dyDescent="0.35">
      <c r="A1122" s="2"/>
      <c r="B1122" s="3"/>
      <c r="C1122" s="3"/>
      <c r="D1122" s="3"/>
      <c r="E1122" s="13"/>
      <c r="F1122" s="13"/>
      <c r="G1122" s="13"/>
      <c r="H1122" s="34"/>
      <c r="I1122" s="13"/>
      <c r="J1122" s="13"/>
      <c r="K1122" s="15"/>
      <c r="L1122" s="20"/>
      <c r="M1122" s="51"/>
      <c r="N1122" s="13"/>
      <c r="O1122" s="6"/>
      <c r="P1122" s="6"/>
      <c r="Q1122" s="6"/>
      <c r="R1122" s="8"/>
      <c r="S1122" s="8"/>
      <c r="T1122" s="6"/>
      <c r="U1122" s="20"/>
      <c r="V1122" s="43"/>
    </row>
    <row r="1123" spans="1:22" s="53" customFormat="1" x14ac:dyDescent="0.35">
      <c r="A1123" s="2"/>
      <c r="B1123" s="3"/>
      <c r="C1123" s="3"/>
      <c r="D1123" s="3"/>
      <c r="E1123" s="6"/>
      <c r="F1123" s="13"/>
      <c r="G1123" s="13"/>
      <c r="H1123" s="98"/>
      <c r="I1123" s="13"/>
      <c r="J1123" s="13"/>
      <c r="K1123" s="19"/>
      <c r="L1123" s="20"/>
      <c r="M1123" s="51"/>
      <c r="N1123" s="13"/>
      <c r="O1123" s="6"/>
      <c r="P1123" s="6"/>
      <c r="Q1123" s="6"/>
      <c r="R1123" s="8"/>
      <c r="S1123" s="8"/>
      <c r="T1123" s="6"/>
      <c r="U1123" s="20"/>
      <c r="V1123" s="12"/>
    </row>
    <row r="1124" spans="1:22" s="53" customFormat="1" x14ac:dyDescent="0.35">
      <c r="A1124" s="2"/>
      <c r="B1124" s="3"/>
      <c r="C1124" s="3"/>
      <c r="D1124" s="3"/>
      <c r="E1124" s="13"/>
      <c r="F1124" s="13"/>
      <c r="G1124" s="13"/>
      <c r="H1124" s="34"/>
      <c r="I1124" s="13"/>
      <c r="J1124" s="13"/>
      <c r="K1124" s="15"/>
      <c r="L1124" s="20"/>
      <c r="M1124" s="51"/>
      <c r="N1124" s="13"/>
      <c r="O1124" s="6"/>
      <c r="P1124" s="6"/>
      <c r="Q1124" s="6"/>
      <c r="R1124" s="8"/>
      <c r="S1124" s="8"/>
      <c r="T1124" s="6"/>
      <c r="U1124" s="20"/>
      <c r="V1124" s="12"/>
    </row>
    <row r="1125" spans="1:22" s="53" customFormat="1" x14ac:dyDescent="0.35">
      <c r="A1125" s="2"/>
      <c r="B1125" s="3"/>
      <c r="C1125" s="3"/>
      <c r="D1125" s="3"/>
      <c r="E1125" s="6"/>
      <c r="F1125" s="13"/>
      <c r="G1125" s="13"/>
      <c r="H1125" s="34"/>
      <c r="I1125" s="13"/>
      <c r="J1125" s="13"/>
      <c r="K1125" s="14"/>
      <c r="L1125" s="20"/>
      <c r="M1125" s="51"/>
      <c r="N1125" s="13"/>
      <c r="O1125" s="6"/>
      <c r="P1125" s="6"/>
      <c r="Q1125" s="6"/>
      <c r="R1125" s="8"/>
      <c r="S1125" s="8"/>
      <c r="T1125" s="6"/>
      <c r="U1125" s="20"/>
      <c r="V1125" s="12"/>
    </row>
    <row r="1126" spans="1:22" s="53" customFormat="1" x14ac:dyDescent="0.35">
      <c r="A1126" s="2"/>
      <c r="B1126" s="3"/>
      <c r="C1126" s="3"/>
      <c r="D1126" s="3"/>
      <c r="E1126" s="13"/>
      <c r="F1126" s="13"/>
      <c r="G1126" s="6"/>
      <c r="H1126" s="34"/>
      <c r="I1126" s="13"/>
      <c r="J1126" s="13"/>
      <c r="K1126" s="15"/>
      <c r="L1126" s="20"/>
      <c r="M1126" s="51"/>
      <c r="N1126" s="13"/>
      <c r="O1126" s="6"/>
      <c r="P1126" s="6"/>
      <c r="Q1126" s="6"/>
      <c r="R1126" s="8"/>
      <c r="S1126" s="8"/>
      <c r="T1126" s="6"/>
      <c r="U1126" s="20"/>
      <c r="V1126" s="12"/>
    </row>
    <row r="1127" spans="1:22" s="53" customFormat="1" x14ac:dyDescent="0.35">
      <c r="A1127" s="2"/>
      <c r="B1127" s="3"/>
      <c r="C1127" s="3"/>
      <c r="D1127" s="3"/>
      <c r="E1127" s="13"/>
      <c r="F1127" s="13"/>
      <c r="G1127" s="13"/>
      <c r="H1127" s="34"/>
      <c r="I1127" s="13"/>
      <c r="J1127" s="13"/>
      <c r="K1127" s="19"/>
      <c r="L1127" s="20"/>
      <c r="M1127" s="51"/>
      <c r="N1127" s="13"/>
      <c r="O1127" s="6"/>
      <c r="P1127" s="6"/>
      <c r="Q1127" s="6"/>
      <c r="R1127" s="8"/>
      <c r="S1127" s="8"/>
      <c r="T1127" s="6"/>
      <c r="U1127" s="20"/>
      <c r="V1127" s="12"/>
    </row>
    <row r="1128" spans="1:22" s="53" customFormat="1" x14ac:dyDescent="0.35">
      <c r="A1128" s="2"/>
      <c r="B1128" s="3"/>
      <c r="C1128" s="3"/>
      <c r="D1128" s="3"/>
      <c r="E1128" s="6"/>
      <c r="F1128" s="6"/>
      <c r="G1128" s="6"/>
      <c r="H1128" s="98"/>
      <c r="I1128" s="6"/>
      <c r="J1128" s="6"/>
      <c r="K1128" s="15"/>
      <c r="L1128" s="18"/>
      <c r="M1128" s="6"/>
      <c r="N1128" s="6"/>
      <c r="O1128" s="8"/>
      <c r="P1128" s="8"/>
      <c r="Q1128" s="8"/>
      <c r="R1128" s="8"/>
      <c r="S1128" s="20"/>
      <c r="T1128" s="6"/>
      <c r="U1128" s="20"/>
      <c r="V1128" s="43"/>
    </row>
    <row r="1129" spans="1:22" s="53" customFormat="1" x14ac:dyDescent="0.35">
      <c r="A1129" s="2"/>
      <c r="B1129" s="3"/>
      <c r="C1129" s="3"/>
      <c r="D1129" s="3"/>
      <c r="E1129" s="6"/>
      <c r="F1129" s="6"/>
      <c r="G1129" s="6"/>
      <c r="H1129" s="98"/>
      <c r="I1129" s="6"/>
      <c r="J1129" s="6"/>
      <c r="K1129" s="15"/>
      <c r="L1129" s="18"/>
      <c r="M1129" s="6"/>
      <c r="N1129" s="6"/>
      <c r="O1129" s="8"/>
      <c r="P1129" s="8"/>
      <c r="Q1129" s="8"/>
      <c r="R1129" s="8"/>
      <c r="S1129" s="20"/>
      <c r="T1129" s="6"/>
      <c r="U1129" s="20"/>
      <c r="V1129" s="43"/>
    </row>
    <row r="1130" spans="1:22" s="53" customFormat="1" x14ac:dyDescent="0.35">
      <c r="A1130" s="2"/>
      <c r="B1130" s="3"/>
      <c r="C1130" s="3"/>
      <c r="D1130" s="3"/>
      <c r="E1130" s="6"/>
      <c r="F1130" s="6"/>
      <c r="G1130" s="6"/>
      <c r="H1130" s="98"/>
      <c r="I1130" s="6"/>
      <c r="J1130" s="6"/>
      <c r="K1130" s="15"/>
      <c r="L1130" s="18"/>
      <c r="M1130" s="6"/>
      <c r="N1130" s="6"/>
      <c r="O1130" s="8"/>
      <c r="P1130" s="8"/>
      <c r="Q1130" s="8"/>
      <c r="R1130" s="8"/>
      <c r="S1130" s="20"/>
      <c r="T1130" s="6"/>
      <c r="U1130" s="20"/>
      <c r="V1130" s="43"/>
    </row>
    <row r="1131" spans="1:22" s="53" customFormat="1" x14ac:dyDescent="0.35">
      <c r="A1131" s="2"/>
      <c r="B1131" s="3"/>
      <c r="C1131" s="3"/>
      <c r="D1131" s="3"/>
      <c r="E1131" s="6"/>
      <c r="F1131" s="6"/>
      <c r="G1131" s="6"/>
      <c r="H1131" s="98"/>
      <c r="I1131" s="6"/>
      <c r="J1131" s="6"/>
      <c r="K1131" s="15"/>
      <c r="L1131" s="18"/>
      <c r="M1131" s="6"/>
      <c r="N1131" s="6"/>
      <c r="O1131" s="8"/>
      <c r="P1131" s="8"/>
      <c r="Q1131" s="8"/>
      <c r="R1131" s="8"/>
      <c r="S1131" s="20"/>
      <c r="T1131" s="6"/>
      <c r="U1131" s="20"/>
      <c r="V1131" s="43"/>
    </row>
    <row r="1132" spans="1:22" s="53" customFormat="1" x14ac:dyDescent="0.35">
      <c r="A1132" s="2"/>
      <c r="B1132" s="3"/>
      <c r="C1132" s="3"/>
      <c r="D1132" s="3"/>
      <c r="E1132" s="6"/>
      <c r="F1132" s="6"/>
      <c r="G1132" s="6"/>
      <c r="H1132" s="98"/>
      <c r="I1132" s="6"/>
      <c r="J1132" s="6"/>
      <c r="K1132" s="15"/>
      <c r="L1132" s="18"/>
      <c r="M1132" s="6"/>
      <c r="N1132" s="6"/>
      <c r="O1132" s="8"/>
      <c r="P1132" s="8"/>
      <c r="Q1132" s="8"/>
      <c r="R1132" s="8"/>
      <c r="S1132" s="20"/>
      <c r="T1132" s="6"/>
      <c r="U1132" s="20"/>
      <c r="V1132" s="43"/>
    </row>
    <row r="1133" spans="1:22" s="53" customFormat="1" x14ac:dyDescent="0.35">
      <c r="A1133" s="2"/>
      <c r="B1133" s="3"/>
      <c r="C1133" s="3"/>
      <c r="D1133" s="3"/>
      <c r="E1133" s="6"/>
      <c r="F1133" s="6"/>
      <c r="G1133" s="6"/>
      <c r="H1133" s="98"/>
      <c r="I1133" s="6"/>
      <c r="J1133" s="6"/>
      <c r="K1133" s="15"/>
      <c r="L1133" s="18"/>
      <c r="M1133" s="6"/>
      <c r="N1133" s="6"/>
      <c r="O1133" s="8"/>
      <c r="P1133" s="8"/>
      <c r="Q1133" s="8"/>
      <c r="R1133" s="8"/>
      <c r="S1133" s="20"/>
      <c r="T1133" s="6"/>
      <c r="U1133" s="20"/>
      <c r="V1133" s="43"/>
    </row>
    <row r="1134" spans="1:22" s="53" customFormat="1" x14ac:dyDescent="0.35">
      <c r="A1134" s="2"/>
      <c r="B1134" s="3"/>
      <c r="C1134" s="3"/>
      <c r="D1134" s="3"/>
      <c r="E1134" s="6"/>
      <c r="F1134" s="6"/>
      <c r="G1134" s="6"/>
      <c r="H1134" s="98"/>
      <c r="I1134" s="6"/>
      <c r="J1134" s="6"/>
      <c r="K1134" s="15"/>
      <c r="L1134" s="18"/>
      <c r="M1134" s="6"/>
      <c r="N1134" s="6"/>
      <c r="O1134" s="8"/>
      <c r="P1134" s="8"/>
      <c r="Q1134" s="8"/>
      <c r="R1134" s="8"/>
      <c r="S1134" s="20"/>
      <c r="T1134" s="6"/>
      <c r="U1134" s="20"/>
      <c r="V1134" s="43"/>
    </row>
    <row r="1135" spans="1:22" s="53" customFormat="1" x14ac:dyDescent="0.35">
      <c r="A1135" s="2"/>
      <c r="B1135" s="3"/>
      <c r="C1135" s="3"/>
      <c r="D1135" s="3"/>
      <c r="E1135" s="6"/>
      <c r="F1135" s="6"/>
      <c r="G1135" s="6"/>
      <c r="H1135" s="98"/>
      <c r="I1135" s="6"/>
      <c r="J1135" s="6"/>
      <c r="K1135" s="15"/>
      <c r="L1135" s="18"/>
      <c r="M1135" s="6"/>
      <c r="N1135" s="6"/>
      <c r="O1135" s="8"/>
      <c r="P1135" s="8"/>
      <c r="Q1135" s="8"/>
      <c r="R1135" s="8"/>
      <c r="S1135" s="20"/>
      <c r="T1135" s="6"/>
      <c r="U1135" s="20"/>
      <c r="V1135" s="43"/>
    </row>
    <row r="1136" spans="1:22" s="53" customFormat="1" x14ac:dyDescent="0.35">
      <c r="A1136" s="2"/>
      <c r="B1136" s="3"/>
      <c r="C1136" s="3"/>
      <c r="D1136" s="3"/>
      <c r="E1136" s="6"/>
      <c r="F1136" s="6"/>
      <c r="G1136" s="6"/>
      <c r="H1136" s="98"/>
      <c r="I1136" s="6"/>
      <c r="J1136" s="6"/>
      <c r="K1136" s="15"/>
      <c r="L1136" s="18"/>
      <c r="M1136" s="6"/>
      <c r="N1136" s="6"/>
      <c r="O1136" s="8"/>
      <c r="P1136" s="8"/>
      <c r="Q1136" s="8"/>
      <c r="R1136" s="8"/>
      <c r="S1136" s="20"/>
      <c r="T1136" s="6"/>
      <c r="U1136" s="20"/>
      <c r="V1136" s="43"/>
    </row>
    <row r="1137" spans="1:22" s="53" customFormat="1" x14ac:dyDescent="0.35">
      <c r="A1137" s="2"/>
      <c r="B1137" s="3"/>
      <c r="C1137" s="3"/>
      <c r="D1137" s="3"/>
      <c r="E1137" s="6"/>
      <c r="F1137" s="6"/>
      <c r="G1137" s="6"/>
      <c r="H1137" s="98"/>
      <c r="I1137" s="6"/>
      <c r="J1137" s="6"/>
      <c r="K1137" s="15"/>
      <c r="L1137" s="79"/>
      <c r="M1137" s="6"/>
      <c r="N1137" s="6"/>
      <c r="O1137" s="8"/>
      <c r="P1137" s="8"/>
      <c r="Q1137" s="8"/>
      <c r="R1137" s="8"/>
      <c r="S1137" s="20"/>
      <c r="T1137" s="6"/>
      <c r="U1137" s="37"/>
      <c r="V1137" s="58"/>
    </row>
    <row r="1138" spans="1:22" s="53" customFormat="1" x14ac:dyDescent="0.35">
      <c r="A1138" s="2"/>
      <c r="B1138" s="3"/>
      <c r="C1138" s="3"/>
      <c r="D1138" s="3"/>
      <c r="E1138" s="6"/>
      <c r="F1138" s="6"/>
      <c r="G1138" s="6"/>
      <c r="H1138" s="98"/>
      <c r="I1138" s="6"/>
      <c r="J1138" s="6"/>
      <c r="K1138" s="15"/>
      <c r="L1138" s="18"/>
      <c r="M1138" s="6"/>
      <c r="N1138" s="6"/>
      <c r="O1138" s="8"/>
      <c r="P1138" s="8"/>
      <c r="Q1138" s="8"/>
      <c r="R1138" s="8"/>
      <c r="S1138" s="20"/>
      <c r="T1138" s="6"/>
      <c r="U1138" s="20"/>
      <c r="V1138" s="43"/>
    </row>
    <row r="1139" spans="1:22" s="53" customFormat="1" x14ac:dyDescent="0.35">
      <c r="A1139" s="2"/>
      <c r="B1139" s="3"/>
      <c r="C1139" s="3"/>
      <c r="D1139" s="3"/>
      <c r="E1139" s="6"/>
      <c r="F1139" s="6"/>
      <c r="G1139" s="6"/>
      <c r="H1139" s="98"/>
      <c r="I1139" s="6"/>
      <c r="J1139" s="6"/>
      <c r="K1139" s="15"/>
      <c r="L1139" s="79"/>
      <c r="M1139" s="6"/>
      <c r="N1139" s="6"/>
      <c r="O1139" s="8"/>
      <c r="P1139" s="8"/>
      <c r="Q1139" s="8"/>
      <c r="R1139" s="8"/>
      <c r="S1139" s="20"/>
      <c r="T1139" s="6"/>
      <c r="U1139" s="20"/>
      <c r="V1139" s="43"/>
    </row>
    <row r="1140" spans="1:22" s="53" customFormat="1" x14ac:dyDescent="0.35">
      <c r="A1140" s="2"/>
      <c r="B1140" s="3"/>
      <c r="C1140" s="3"/>
      <c r="D1140" s="3"/>
      <c r="E1140" s="6"/>
      <c r="F1140" s="6"/>
      <c r="G1140" s="6"/>
      <c r="H1140" s="98"/>
      <c r="I1140" s="6"/>
      <c r="J1140" s="6"/>
      <c r="K1140" s="15"/>
      <c r="L1140" s="18"/>
      <c r="M1140" s="6"/>
      <c r="N1140" s="6"/>
      <c r="O1140" s="8"/>
      <c r="P1140" s="8"/>
      <c r="Q1140" s="8"/>
      <c r="R1140" s="8"/>
      <c r="S1140" s="20"/>
      <c r="T1140" s="6"/>
      <c r="U1140" s="20"/>
      <c r="V1140" s="43"/>
    </row>
    <row r="1141" spans="1:22" s="53" customFormat="1" x14ac:dyDescent="0.35">
      <c r="A1141" s="2"/>
      <c r="B1141" s="3"/>
      <c r="C1141" s="3"/>
      <c r="D1141" s="3"/>
      <c r="E1141" s="6"/>
      <c r="F1141" s="6"/>
      <c r="G1141" s="6"/>
      <c r="H1141" s="98"/>
      <c r="I1141" s="6"/>
      <c r="J1141" s="6"/>
      <c r="K1141" s="15"/>
      <c r="L1141" s="18"/>
      <c r="M1141" s="6"/>
      <c r="N1141" s="6"/>
      <c r="O1141" s="8"/>
      <c r="P1141" s="8"/>
      <c r="Q1141" s="8"/>
      <c r="R1141" s="8"/>
      <c r="S1141" s="20"/>
      <c r="T1141" s="6"/>
      <c r="U1141" s="20"/>
      <c r="V1141" s="43"/>
    </row>
    <row r="1142" spans="1:22" s="53" customFormat="1" x14ac:dyDescent="0.35">
      <c r="A1142" s="2"/>
      <c r="B1142" s="3"/>
      <c r="C1142" s="3"/>
      <c r="D1142" s="3"/>
      <c r="E1142" s="6"/>
      <c r="F1142" s="6"/>
      <c r="G1142" s="6"/>
      <c r="H1142" s="98"/>
      <c r="I1142" s="6"/>
      <c r="J1142" s="6"/>
      <c r="K1142" s="92"/>
      <c r="L1142" s="18"/>
      <c r="M1142" s="6"/>
      <c r="N1142" s="6"/>
      <c r="O1142" s="8"/>
      <c r="P1142" s="8"/>
      <c r="Q1142" s="8"/>
      <c r="R1142" s="8"/>
      <c r="S1142" s="20"/>
      <c r="T1142" s="6"/>
      <c r="U1142" s="20"/>
      <c r="V1142" s="43"/>
    </row>
    <row r="1143" spans="1:22" s="53" customFormat="1" x14ac:dyDescent="0.35">
      <c r="A1143" s="2"/>
      <c r="B1143" s="3"/>
      <c r="C1143" s="3"/>
      <c r="D1143" s="3"/>
      <c r="E1143" s="6"/>
      <c r="F1143" s="6"/>
      <c r="G1143" s="6"/>
      <c r="H1143" s="98"/>
      <c r="I1143" s="6"/>
      <c r="J1143" s="6"/>
      <c r="K1143" s="15"/>
      <c r="L1143" s="18"/>
      <c r="M1143" s="6"/>
      <c r="N1143" s="6"/>
      <c r="O1143" s="8"/>
      <c r="P1143" s="8"/>
      <c r="Q1143" s="8"/>
      <c r="R1143" s="8"/>
      <c r="S1143" s="20"/>
      <c r="T1143" s="6"/>
      <c r="U1143" s="20"/>
      <c r="V1143" s="43"/>
    </row>
    <row r="1144" spans="1:22" s="53" customFormat="1" x14ac:dyDescent="0.35">
      <c r="A1144" s="2"/>
      <c r="B1144" s="3"/>
      <c r="C1144" s="3"/>
      <c r="D1144" s="3"/>
      <c r="E1144" s="6"/>
      <c r="F1144" s="6"/>
      <c r="G1144" s="6"/>
      <c r="H1144" s="98"/>
      <c r="I1144" s="6"/>
      <c r="J1144" s="6"/>
      <c r="K1144" s="15"/>
      <c r="L1144" s="18"/>
      <c r="M1144" s="6"/>
      <c r="N1144" s="6"/>
      <c r="O1144" s="8"/>
      <c r="P1144" s="8"/>
      <c r="Q1144" s="8"/>
      <c r="R1144" s="8"/>
      <c r="S1144" s="20"/>
      <c r="T1144" s="6"/>
      <c r="U1144" s="20"/>
      <c r="V1144" s="12"/>
    </row>
    <row r="1145" spans="1:22" s="53" customFormat="1" x14ac:dyDescent="0.35">
      <c r="A1145" s="2"/>
      <c r="B1145" s="3"/>
      <c r="C1145" s="3"/>
      <c r="D1145" s="3"/>
      <c r="E1145" s="6"/>
      <c r="F1145" s="6"/>
      <c r="G1145" s="6"/>
      <c r="H1145" s="98"/>
      <c r="I1145" s="6"/>
      <c r="J1145" s="6"/>
      <c r="K1145" s="15"/>
      <c r="L1145" s="18"/>
      <c r="M1145" s="6"/>
      <c r="N1145" s="6"/>
      <c r="O1145" s="8"/>
      <c r="P1145" s="8"/>
      <c r="Q1145" s="8"/>
      <c r="R1145" s="8"/>
      <c r="S1145" s="20"/>
      <c r="T1145" s="6"/>
      <c r="U1145" s="20"/>
      <c r="V1145" s="43"/>
    </row>
    <row r="1146" spans="1:22" s="53" customFormat="1" x14ac:dyDescent="0.35">
      <c r="A1146" s="2"/>
      <c r="B1146" s="3"/>
      <c r="C1146" s="3"/>
      <c r="D1146" s="3"/>
      <c r="E1146" s="6"/>
      <c r="F1146" s="6"/>
      <c r="G1146" s="6"/>
      <c r="H1146" s="98"/>
      <c r="I1146" s="6"/>
      <c r="J1146" s="6"/>
      <c r="K1146" s="15"/>
      <c r="L1146" s="18"/>
      <c r="M1146" s="6"/>
      <c r="N1146" s="6"/>
      <c r="O1146" s="8"/>
      <c r="P1146" s="8"/>
      <c r="Q1146" s="8"/>
      <c r="R1146" s="8"/>
      <c r="S1146" s="20"/>
      <c r="T1146" s="6"/>
      <c r="U1146" s="20"/>
      <c r="V1146" s="43"/>
    </row>
    <row r="1147" spans="1:22" s="53" customFormat="1" x14ac:dyDescent="0.35">
      <c r="A1147" s="2"/>
      <c r="B1147" s="3"/>
      <c r="C1147" s="3"/>
      <c r="D1147" s="3"/>
      <c r="E1147" s="6"/>
      <c r="F1147" s="6"/>
      <c r="G1147" s="6"/>
      <c r="H1147" s="98"/>
      <c r="I1147" s="6"/>
      <c r="J1147" s="6"/>
      <c r="K1147" s="15"/>
      <c r="L1147" s="18"/>
      <c r="M1147" s="6"/>
      <c r="N1147" s="6"/>
      <c r="O1147" s="8"/>
      <c r="P1147" s="8"/>
      <c r="Q1147" s="8"/>
      <c r="R1147" s="8"/>
      <c r="S1147" s="20"/>
      <c r="T1147" s="6"/>
      <c r="U1147" s="20"/>
      <c r="V1147" s="12"/>
    </row>
    <row r="1148" spans="1:22" s="53" customFormat="1" x14ac:dyDescent="0.35">
      <c r="A1148" s="2"/>
      <c r="B1148" s="3"/>
      <c r="C1148" s="3"/>
      <c r="D1148" s="3"/>
      <c r="E1148" s="6"/>
      <c r="F1148" s="6"/>
      <c r="G1148" s="6"/>
      <c r="H1148" s="98"/>
      <c r="I1148" s="6"/>
      <c r="J1148" s="6"/>
      <c r="K1148" s="15"/>
      <c r="L1148" s="18"/>
      <c r="M1148" s="6"/>
      <c r="N1148" s="6"/>
      <c r="O1148" s="8"/>
      <c r="P1148" s="8"/>
      <c r="Q1148" s="8"/>
      <c r="R1148" s="8"/>
      <c r="S1148" s="20"/>
      <c r="T1148" s="6"/>
      <c r="U1148" s="20"/>
      <c r="V1148" s="12"/>
    </row>
    <row r="1149" spans="1:22" s="53" customFormat="1" x14ac:dyDescent="0.35">
      <c r="A1149" s="2"/>
      <c r="B1149" s="3"/>
      <c r="C1149" s="3"/>
      <c r="D1149" s="3"/>
      <c r="E1149" s="6"/>
      <c r="F1149" s="6"/>
      <c r="G1149" s="6"/>
      <c r="H1149" s="98"/>
      <c r="I1149" s="6"/>
      <c r="J1149" s="6"/>
      <c r="K1149" s="15"/>
      <c r="L1149" s="18"/>
      <c r="M1149" s="6"/>
      <c r="N1149" s="6"/>
      <c r="O1149" s="8"/>
      <c r="P1149" s="8"/>
      <c r="Q1149" s="8"/>
      <c r="R1149" s="8"/>
      <c r="S1149" s="20"/>
      <c r="T1149" s="6"/>
      <c r="U1149" s="20"/>
      <c r="V1149" s="43"/>
    </row>
    <row r="1150" spans="1:22" s="53" customFormat="1" x14ac:dyDescent="0.35">
      <c r="A1150" s="2"/>
      <c r="B1150" s="3"/>
      <c r="C1150" s="3"/>
      <c r="D1150" s="3"/>
      <c r="E1150" s="6"/>
      <c r="F1150" s="6"/>
      <c r="G1150" s="6"/>
      <c r="H1150" s="98"/>
      <c r="I1150" s="6"/>
      <c r="J1150" s="6"/>
      <c r="K1150" s="15"/>
      <c r="L1150" s="18"/>
      <c r="M1150" s="6"/>
      <c r="N1150" s="6"/>
      <c r="O1150" s="8"/>
      <c r="P1150" s="8"/>
      <c r="Q1150" s="8"/>
      <c r="R1150" s="8"/>
      <c r="S1150" s="20"/>
      <c r="T1150" s="6"/>
      <c r="U1150" s="20"/>
      <c r="V1150" s="43"/>
    </row>
    <row r="1151" spans="1:22" s="53" customFormat="1" x14ac:dyDescent="0.35">
      <c r="A1151" s="2"/>
      <c r="B1151" s="3"/>
      <c r="C1151" s="3"/>
      <c r="D1151" s="3"/>
      <c r="E1151" s="6"/>
      <c r="F1151" s="6"/>
      <c r="G1151" s="6"/>
      <c r="H1151" s="98"/>
      <c r="I1151" s="6"/>
      <c r="J1151" s="6"/>
      <c r="K1151" s="15"/>
      <c r="L1151" s="18"/>
      <c r="M1151" s="6"/>
      <c r="N1151" s="6"/>
      <c r="O1151" s="8"/>
      <c r="P1151" s="8"/>
      <c r="Q1151" s="8"/>
      <c r="R1151" s="8"/>
      <c r="S1151" s="20"/>
      <c r="T1151" s="6"/>
      <c r="U1151" s="20"/>
      <c r="V1151" s="43"/>
    </row>
    <row r="1152" spans="1:22" s="53" customFormat="1" x14ac:dyDescent="0.35">
      <c r="A1152" s="2"/>
      <c r="B1152" s="3"/>
      <c r="C1152" s="3"/>
      <c r="D1152" s="3"/>
      <c r="E1152" s="6"/>
      <c r="F1152" s="6"/>
      <c r="G1152" s="6"/>
      <c r="H1152" s="98"/>
      <c r="I1152" s="6"/>
      <c r="J1152" s="6"/>
      <c r="K1152" s="15"/>
      <c r="L1152" s="18"/>
      <c r="M1152" s="6"/>
      <c r="N1152" s="6"/>
      <c r="O1152" s="8"/>
      <c r="P1152" s="8"/>
      <c r="Q1152" s="8"/>
      <c r="R1152" s="8"/>
      <c r="S1152" s="20"/>
      <c r="T1152" s="6"/>
      <c r="U1152" s="20"/>
      <c r="V1152" s="43"/>
    </row>
    <row r="1153" spans="1:22" s="53" customFormat="1" x14ac:dyDescent="0.35">
      <c r="A1153" s="2"/>
      <c r="B1153" s="3"/>
      <c r="C1153" s="3"/>
      <c r="D1153" s="3"/>
      <c r="E1153" s="6"/>
      <c r="F1153" s="6"/>
      <c r="G1153" s="6"/>
      <c r="H1153" s="98"/>
      <c r="I1153" s="6"/>
      <c r="J1153" s="6"/>
      <c r="K1153" s="15"/>
      <c r="L1153" s="18"/>
      <c r="M1153" s="6"/>
      <c r="N1153" s="6"/>
      <c r="O1153" s="8"/>
      <c r="P1153" s="8"/>
      <c r="Q1153" s="8"/>
      <c r="R1153" s="8"/>
      <c r="S1153" s="20"/>
      <c r="T1153" s="6"/>
      <c r="U1153" s="20"/>
      <c r="V1153" s="12"/>
    </row>
    <row r="1154" spans="1:22" s="53" customFormat="1" x14ac:dyDescent="0.35">
      <c r="A1154" s="2"/>
      <c r="B1154" s="3"/>
      <c r="C1154" s="3"/>
      <c r="D1154" s="3"/>
      <c r="E1154" s="6"/>
      <c r="F1154" s="6"/>
      <c r="G1154" s="6"/>
      <c r="H1154" s="98"/>
      <c r="I1154" s="6"/>
      <c r="J1154" s="6"/>
      <c r="K1154" s="15"/>
      <c r="L1154" s="18"/>
      <c r="M1154" s="6"/>
      <c r="N1154" s="6"/>
      <c r="O1154" s="8"/>
      <c r="P1154" s="8"/>
      <c r="Q1154" s="8"/>
      <c r="R1154" s="8"/>
      <c r="S1154" s="20"/>
      <c r="T1154" s="6"/>
      <c r="U1154" s="20"/>
      <c r="V1154" s="12"/>
    </row>
    <row r="1155" spans="1:22" s="53" customFormat="1" x14ac:dyDescent="0.35">
      <c r="A1155" s="2"/>
      <c r="B1155" s="3"/>
      <c r="C1155" s="3"/>
      <c r="D1155" s="3"/>
      <c r="E1155" s="6"/>
      <c r="F1155" s="6"/>
      <c r="G1155" s="6"/>
      <c r="H1155" s="98"/>
      <c r="I1155" s="6"/>
      <c r="J1155" s="6"/>
      <c r="K1155" s="14"/>
      <c r="L1155" s="18"/>
      <c r="M1155" s="6"/>
      <c r="N1155" s="6"/>
      <c r="O1155" s="8"/>
      <c r="P1155" s="8"/>
      <c r="Q1155" s="8"/>
      <c r="R1155" s="8"/>
      <c r="S1155" s="20"/>
      <c r="T1155" s="6"/>
      <c r="U1155" s="20"/>
      <c r="V1155" s="12"/>
    </row>
    <row r="1156" spans="1:22" s="53" customFormat="1" x14ac:dyDescent="0.35">
      <c r="A1156" s="2"/>
      <c r="B1156" s="3"/>
      <c r="C1156" s="3"/>
      <c r="D1156" s="3"/>
      <c r="E1156" s="6"/>
      <c r="F1156" s="6"/>
      <c r="G1156" s="6"/>
      <c r="H1156" s="98"/>
      <c r="I1156" s="6"/>
      <c r="J1156" s="6"/>
      <c r="K1156" s="15"/>
      <c r="L1156" s="18"/>
      <c r="M1156" s="6"/>
      <c r="N1156" s="6"/>
      <c r="O1156" s="8"/>
      <c r="P1156" s="8"/>
      <c r="Q1156" s="8"/>
      <c r="R1156" s="8"/>
      <c r="S1156" s="20"/>
      <c r="T1156" s="6"/>
      <c r="U1156" s="20"/>
      <c r="V1156" s="12"/>
    </row>
    <row r="1157" spans="1:22" s="53" customFormat="1" x14ac:dyDescent="0.35">
      <c r="A1157" s="2"/>
      <c r="B1157" s="3"/>
      <c r="C1157" s="3"/>
      <c r="D1157" s="3"/>
      <c r="E1157" s="6"/>
      <c r="F1157" s="6"/>
      <c r="G1157" s="6"/>
      <c r="H1157" s="98"/>
      <c r="I1157" s="6"/>
      <c r="J1157" s="6"/>
      <c r="K1157" s="15"/>
      <c r="L1157" s="18"/>
      <c r="M1157" s="6"/>
      <c r="N1157" s="6"/>
      <c r="O1157" s="8"/>
      <c r="P1157" s="8"/>
      <c r="Q1157" s="8"/>
      <c r="R1157" s="8"/>
      <c r="S1157" s="20"/>
      <c r="T1157" s="6"/>
      <c r="U1157" s="20"/>
      <c r="V1157" s="12"/>
    </row>
    <row r="1158" spans="1:22" s="53" customFormat="1" x14ac:dyDescent="0.35">
      <c r="A1158" s="2"/>
      <c r="B1158" s="3"/>
      <c r="C1158" s="3"/>
      <c r="D1158" s="3"/>
      <c r="E1158" s="6"/>
      <c r="F1158" s="6"/>
      <c r="G1158" s="6"/>
      <c r="H1158" s="98"/>
      <c r="I1158" s="6"/>
      <c r="J1158" s="6"/>
      <c r="K1158" s="15"/>
      <c r="L1158" s="18"/>
      <c r="M1158" s="6"/>
      <c r="N1158" s="6"/>
      <c r="O1158" s="8"/>
      <c r="P1158" s="8"/>
      <c r="Q1158" s="8"/>
      <c r="R1158" s="8"/>
      <c r="S1158" s="20"/>
      <c r="T1158" s="6"/>
      <c r="U1158" s="20"/>
      <c r="V1158" s="12"/>
    </row>
    <row r="1159" spans="1:22" s="53" customFormat="1" x14ac:dyDescent="0.35">
      <c r="A1159" s="2"/>
      <c r="B1159" s="3"/>
      <c r="C1159" s="3"/>
      <c r="D1159" s="3"/>
      <c r="E1159" s="59"/>
      <c r="F1159" s="59"/>
      <c r="G1159" s="59"/>
      <c r="H1159" s="34"/>
      <c r="I1159" s="60"/>
      <c r="J1159" s="60"/>
      <c r="K1159" s="60"/>
      <c r="L1159" s="61"/>
      <c r="M1159" s="5"/>
      <c r="N1159" s="13"/>
      <c r="O1159" s="8"/>
      <c r="P1159" s="8"/>
      <c r="Q1159" s="8"/>
      <c r="R1159" s="8"/>
      <c r="S1159" s="21"/>
      <c r="T1159" s="5"/>
      <c r="U1159" s="12"/>
      <c r="V1159" s="43"/>
    </row>
    <row r="1160" spans="1:22" s="53" customFormat="1" x14ac:dyDescent="0.35">
      <c r="A1160" s="2"/>
      <c r="B1160" s="3"/>
      <c r="C1160" s="3"/>
      <c r="D1160" s="3"/>
      <c r="E1160" s="59"/>
      <c r="F1160" s="59"/>
      <c r="G1160" s="59"/>
      <c r="H1160" s="34"/>
      <c r="I1160" s="60"/>
      <c r="J1160" s="60"/>
      <c r="K1160" s="60"/>
      <c r="L1160" s="61"/>
      <c r="M1160" s="5"/>
      <c r="N1160" s="13"/>
      <c r="O1160" s="8"/>
      <c r="P1160" s="8"/>
      <c r="Q1160" s="8"/>
      <c r="R1160" s="8"/>
      <c r="S1160" s="21"/>
      <c r="T1160" s="5"/>
      <c r="U1160" s="12"/>
      <c r="V1160" s="43"/>
    </row>
    <row r="1161" spans="1:22" s="53" customFormat="1" x14ac:dyDescent="0.35">
      <c r="A1161" s="2"/>
      <c r="B1161" s="3"/>
      <c r="C1161" s="3"/>
      <c r="D1161" s="3"/>
      <c r="E1161" s="59"/>
      <c r="F1161" s="59"/>
      <c r="G1161" s="59"/>
      <c r="H1161" s="34"/>
      <c r="I1161" s="60"/>
      <c r="J1161" s="60"/>
      <c r="K1161" s="60"/>
      <c r="L1161" s="61"/>
      <c r="M1161" s="5"/>
      <c r="N1161" s="13"/>
      <c r="O1161" s="8"/>
      <c r="P1161" s="8"/>
      <c r="Q1161" s="8"/>
      <c r="R1161" s="8"/>
      <c r="S1161" s="21"/>
      <c r="T1161" s="5"/>
      <c r="U1161" s="12"/>
      <c r="V1161" s="43"/>
    </row>
    <row r="1162" spans="1:22" s="53" customFormat="1" x14ac:dyDescent="0.35">
      <c r="A1162" s="2"/>
      <c r="B1162" s="3"/>
      <c r="C1162" s="3"/>
      <c r="D1162" s="3"/>
      <c r="E1162" s="59"/>
      <c r="F1162" s="59"/>
      <c r="G1162" s="59"/>
      <c r="H1162" s="34"/>
      <c r="I1162" s="60"/>
      <c r="J1162" s="60"/>
      <c r="K1162" s="60"/>
      <c r="L1162" s="61"/>
      <c r="M1162" s="5"/>
      <c r="N1162" s="13"/>
      <c r="O1162" s="8"/>
      <c r="P1162" s="8"/>
      <c r="Q1162" s="8"/>
      <c r="R1162" s="8"/>
      <c r="S1162" s="21"/>
      <c r="T1162" s="5"/>
      <c r="U1162" s="12"/>
      <c r="V1162" s="43"/>
    </row>
    <row r="1163" spans="1:22" s="53" customFormat="1" x14ac:dyDescent="0.35">
      <c r="A1163" s="2"/>
      <c r="B1163" s="3"/>
      <c r="C1163" s="3"/>
      <c r="D1163" s="3"/>
      <c r="E1163" s="59"/>
      <c r="F1163" s="59"/>
      <c r="G1163" s="59"/>
      <c r="H1163" s="34"/>
      <c r="I1163" s="60"/>
      <c r="J1163" s="60"/>
      <c r="K1163" s="60"/>
      <c r="L1163" s="61"/>
      <c r="M1163" s="5"/>
      <c r="N1163" s="13"/>
      <c r="O1163" s="8"/>
      <c r="P1163" s="8"/>
      <c r="Q1163" s="8"/>
      <c r="R1163" s="8"/>
      <c r="S1163" s="21"/>
      <c r="T1163" s="5"/>
      <c r="U1163" s="12"/>
      <c r="V1163" s="43"/>
    </row>
    <row r="1164" spans="1:22" s="53" customFormat="1" x14ac:dyDescent="0.35">
      <c r="A1164" s="2"/>
      <c r="B1164" s="3"/>
      <c r="C1164" s="3"/>
      <c r="D1164" s="3"/>
      <c r="E1164" s="59"/>
      <c r="F1164" s="59"/>
      <c r="G1164" s="59"/>
      <c r="H1164" s="34"/>
      <c r="I1164" s="60"/>
      <c r="J1164" s="60"/>
      <c r="K1164" s="60"/>
      <c r="L1164" s="61"/>
      <c r="M1164" s="5"/>
      <c r="N1164" s="13"/>
      <c r="O1164" s="8"/>
      <c r="P1164" s="8"/>
      <c r="Q1164" s="8"/>
      <c r="R1164" s="8"/>
      <c r="S1164" s="21"/>
      <c r="T1164" s="5"/>
      <c r="U1164" s="12"/>
      <c r="V1164" s="43"/>
    </row>
    <row r="1165" spans="1:22" s="53" customFormat="1" x14ac:dyDescent="0.35">
      <c r="A1165" s="2"/>
      <c r="B1165" s="3"/>
      <c r="C1165" s="3"/>
      <c r="D1165" s="3"/>
      <c r="E1165" s="59"/>
      <c r="F1165" s="59"/>
      <c r="G1165" s="59"/>
      <c r="H1165" s="34"/>
      <c r="I1165" s="60"/>
      <c r="J1165" s="60"/>
      <c r="K1165" s="60"/>
      <c r="L1165" s="61"/>
      <c r="M1165" s="5"/>
      <c r="N1165" s="13"/>
      <c r="O1165" s="8"/>
      <c r="P1165" s="8"/>
      <c r="Q1165" s="8"/>
      <c r="R1165" s="8"/>
      <c r="S1165" s="21"/>
      <c r="T1165" s="5"/>
      <c r="U1165" s="12"/>
      <c r="V1165" s="43"/>
    </row>
    <row r="1166" spans="1:22" s="53" customFormat="1" x14ac:dyDescent="0.35">
      <c r="A1166" s="2"/>
      <c r="B1166" s="3"/>
      <c r="C1166" s="3"/>
      <c r="D1166" s="3"/>
      <c r="E1166" s="59"/>
      <c r="F1166" s="59"/>
      <c r="G1166" s="59"/>
      <c r="H1166" s="34"/>
      <c r="I1166" s="60"/>
      <c r="J1166" s="60"/>
      <c r="K1166" s="60"/>
      <c r="L1166" s="61"/>
      <c r="M1166" s="5"/>
      <c r="N1166" s="13"/>
      <c r="O1166" s="8"/>
      <c r="P1166" s="8"/>
      <c r="Q1166" s="8"/>
      <c r="R1166" s="8"/>
      <c r="S1166" s="21"/>
      <c r="T1166" s="5"/>
      <c r="U1166" s="12"/>
      <c r="V1166" s="43"/>
    </row>
    <row r="1167" spans="1:22" s="53" customFormat="1" x14ac:dyDescent="0.35">
      <c r="A1167" s="2"/>
      <c r="B1167" s="3"/>
      <c r="C1167" s="3"/>
      <c r="D1167" s="3"/>
      <c r="E1167" s="59"/>
      <c r="F1167" s="59"/>
      <c r="G1167" s="59"/>
      <c r="H1167" s="34"/>
      <c r="I1167" s="60"/>
      <c r="J1167" s="60"/>
      <c r="K1167" s="60"/>
      <c r="L1167" s="61"/>
      <c r="M1167" s="5"/>
      <c r="N1167" s="13"/>
      <c r="O1167" s="8"/>
      <c r="P1167" s="8"/>
      <c r="Q1167" s="8"/>
      <c r="R1167" s="8"/>
      <c r="S1167" s="21"/>
      <c r="T1167" s="5"/>
      <c r="U1167" s="12"/>
      <c r="V1167" s="43"/>
    </row>
    <row r="1168" spans="1:22" s="53" customFormat="1" x14ac:dyDescent="0.35">
      <c r="A1168" s="2"/>
      <c r="B1168" s="3"/>
      <c r="C1168" s="3"/>
      <c r="D1168" s="3"/>
      <c r="E1168" s="59"/>
      <c r="F1168" s="59"/>
      <c r="G1168" s="59"/>
      <c r="H1168" s="34"/>
      <c r="I1168" s="60"/>
      <c r="J1168" s="60"/>
      <c r="K1168" s="60"/>
      <c r="L1168" s="61"/>
      <c r="M1168" s="5"/>
      <c r="N1168" s="13"/>
      <c r="O1168" s="8"/>
      <c r="P1168" s="8"/>
      <c r="Q1168" s="8"/>
      <c r="R1168" s="8"/>
      <c r="S1168" s="21"/>
      <c r="T1168" s="5"/>
      <c r="U1168" s="12"/>
      <c r="V1168" s="43"/>
    </row>
    <row r="1169" spans="1:22" s="53" customFormat="1" x14ac:dyDescent="0.35">
      <c r="A1169" s="2"/>
      <c r="B1169" s="3"/>
      <c r="C1169" s="3"/>
      <c r="D1169" s="3"/>
      <c r="E1169" s="59"/>
      <c r="F1169" s="59"/>
      <c r="G1169" s="59"/>
      <c r="H1169" s="34"/>
      <c r="I1169" s="60"/>
      <c r="J1169" s="60"/>
      <c r="K1169" s="60"/>
      <c r="L1169" s="61"/>
      <c r="M1169" s="5"/>
      <c r="N1169" s="13"/>
      <c r="O1169" s="8"/>
      <c r="P1169" s="8"/>
      <c r="Q1169" s="8"/>
      <c r="R1169" s="8"/>
      <c r="S1169" s="21"/>
      <c r="T1169" s="5"/>
      <c r="U1169" s="12"/>
      <c r="V1169" s="43"/>
    </row>
    <row r="1170" spans="1:22" s="53" customFormat="1" x14ac:dyDescent="0.35">
      <c r="A1170" s="2"/>
      <c r="B1170" s="3"/>
      <c r="C1170" s="3"/>
      <c r="D1170" s="3"/>
      <c r="E1170" s="59"/>
      <c r="F1170" s="59"/>
      <c r="G1170" s="59"/>
      <c r="H1170" s="34"/>
      <c r="I1170" s="60"/>
      <c r="J1170" s="60"/>
      <c r="K1170" s="60"/>
      <c r="L1170" s="61"/>
      <c r="M1170" s="5"/>
      <c r="N1170" s="13"/>
      <c r="O1170" s="8"/>
      <c r="P1170" s="8"/>
      <c r="Q1170" s="8"/>
      <c r="R1170" s="8"/>
      <c r="S1170" s="21"/>
      <c r="T1170" s="5"/>
      <c r="U1170" s="12"/>
      <c r="V1170" s="43"/>
    </row>
    <row r="1171" spans="1:22" s="53" customFormat="1" x14ac:dyDescent="0.35">
      <c r="A1171" s="2"/>
      <c r="B1171" s="3"/>
      <c r="C1171" s="3"/>
      <c r="D1171" s="3"/>
      <c r="E1171" s="59"/>
      <c r="F1171" s="59"/>
      <c r="G1171" s="59"/>
      <c r="H1171" s="34"/>
      <c r="I1171" s="60"/>
      <c r="J1171" s="60"/>
      <c r="K1171" s="60"/>
      <c r="L1171" s="61"/>
      <c r="M1171" s="5"/>
      <c r="N1171" s="13"/>
      <c r="O1171" s="8"/>
      <c r="P1171" s="8"/>
      <c r="Q1171" s="8"/>
      <c r="R1171" s="8"/>
      <c r="S1171" s="21"/>
      <c r="T1171" s="5"/>
      <c r="U1171" s="12"/>
      <c r="V1171" s="43"/>
    </row>
    <row r="1172" spans="1:22" s="53" customFormat="1" x14ac:dyDescent="0.35">
      <c r="A1172" s="2"/>
      <c r="B1172" s="3"/>
      <c r="C1172" s="3"/>
      <c r="D1172" s="3"/>
      <c r="E1172" s="59"/>
      <c r="F1172" s="59"/>
      <c r="G1172" s="59"/>
      <c r="H1172" s="34"/>
      <c r="I1172" s="60"/>
      <c r="J1172" s="60"/>
      <c r="K1172" s="60"/>
      <c r="L1172" s="61"/>
      <c r="M1172" s="5"/>
      <c r="N1172" s="13"/>
      <c r="O1172" s="8"/>
      <c r="P1172" s="8"/>
      <c r="Q1172" s="8"/>
      <c r="R1172" s="8"/>
      <c r="S1172" s="21"/>
      <c r="T1172" s="5"/>
      <c r="U1172" s="12"/>
      <c r="V1172" s="43"/>
    </row>
    <row r="1173" spans="1:22" s="53" customFormat="1" x14ac:dyDescent="0.35">
      <c r="A1173" s="2"/>
      <c r="B1173" s="3"/>
      <c r="C1173" s="3"/>
      <c r="D1173" s="3"/>
      <c r="E1173" s="59"/>
      <c r="F1173" s="59"/>
      <c r="G1173" s="59"/>
      <c r="H1173" s="34"/>
      <c r="I1173" s="60"/>
      <c r="J1173" s="60"/>
      <c r="K1173" s="60"/>
      <c r="L1173" s="61"/>
      <c r="M1173" s="5"/>
      <c r="N1173" s="13"/>
      <c r="O1173" s="8"/>
      <c r="P1173" s="8"/>
      <c r="Q1173" s="8"/>
      <c r="R1173" s="8"/>
      <c r="S1173" s="21"/>
      <c r="T1173" s="5"/>
      <c r="U1173" s="12"/>
      <c r="V1173" s="43"/>
    </row>
    <row r="1174" spans="1:22" s="53" customFormat="1" x14ac:dyDescent="0.35">
      <c r="A1174" s="2"/>
      <c r="B1174" s="3"/>
      <c r="C1174" s="3"/>
      <c r="D1174" s="3"/>
      <c r="E1174" s="59"/>
      <c r="F1174" s="59"/>
      <c r="G1174" s="59"/>
      <c r="H1174" s="34"/>
      <c r="I1174" s="60"/>
      <c r="J1174" s="60"/>
      <c r="K1174" s="60"/>
      <c r="L1174" s="61"/>
      <c r="M1174" s="5"/>
      <c r="N1174" s="13"/>
      <c r="O1174" s="8"/>
      <c r="P1174" s="8"/>
      <c r="Q1174" s="8"/>
      <c r="R1174" s="8"/>
      <c r="S1174" s="21"/>
      <c r="T1174" s="5"/>
      <c r="U1174" s="12"/>
      <c r="V1174" s="43"/>
    </row>
    <row r="1175" spans="1:22" s="53" customFormat="1" x14ac:dyDescent="0.35">
      <c r="A1175" s="2"/>
      <c r="B1175" s="3"/>
      <c r="C1175" s="3"/>
      <c r="D1175" s="3"/>
      <c r="E1175" s="59"/>
      <c r="F1175" s="59"/>
      <c r="G1175" s="59"/>
      <c r="H1175" s="34"/>
      <c r="I1175" s="60"/>
      <c r="J1175" s="60"/>
      <c r="K1175" s="60"/>
      <c r="L1175" s="61"/>
      <c r="M1175" s="5"/>
      <c r="N1175" s="13"/>
      <c r="O1175" s="8"/>
      <c r="P1175" s="8"/>
      <c r="Q1175" s="8"/>
      <c r="R1175" s="8"/>
      <c r="S1175" s="21"/>
      <c r="T1175" s="5"/>
      <c r="U1175" s="12"/>
      <c r="V1175" s="12"/>
    </row>
    <row r="1176" spans="1:22" s="53" customFormat="1" x14ac:dyDescent="0.35">
      <c r="A1176" s="2"/>
      <c r="B1176" s="3"/>
      <c r="C1176" s="3"/>
      <c r="D1176" s="3"/>
      <c r="E1176" s="59"/>
      <c r="F1176" s="59"/>
      <c r="G1176" s="59"/>
      <c r="H1176" s="34"/>
      <c r="I1176" s="60"/>
      <c r="J1176" s="60"/>
      <c r="K1176" s="60"/>
      <c r="L1176" s="61"/>
      <c r="M1176" s="5"/>
      <c r="N1176" s="13"/>
      <c r="O1176" s="8"/>
      <c r="P1176" s="8"/>
      <c r="Q1176" s="8"/>
      <c r="R1176" s="8"/>
      <c r="S1176" s="21"/>
      <c r="T1176" s="5"/>
      <c r="U1176" s="12"/>
      <c r="V1176" s="43"/>
    </row>
    <row r="1177" spans="1:22" s="53" customFormat="1" x14ac:dyDescent="0.35">
      <c r="A1177" s="2"/>
      <c r="B1177" s="3"/>
      <c r="C1177" s="3"/>
      <c r="D1177" s="3"/>
      <c r="E1177" s="59"/>
      <c r="F1177" s="59"/>
      <c r="G1177" s="59"/>
      <c r="H1177" s="34"/>
      <c r="I1177" s="60"/>
      <c r="J1177" s="60"/>
      <c r="K1177" s="60"/>
      <c r="L1177" s="61"/>
      <c r="M1177" s="5"/>
      <c r="N1177" s="13"/>
      <c r="O1177" s="8"/>
      <c r="P1177" s="8"/>
      <c r="Q1177" s="8"/>
      <c r="R1177" s="8"/>
      <c r="S1177" s="21"/>
      <c r="T1177" s="5"/>
      <c r="U1177" s="12"/>
      <c r="V1177" s="43"/>
    </row>
    <row r="1178" spans="1:22" s="53" customFormat="1" x14ac:dyDescent="0.35">
      <c r="A1178" s="2"/>
      <c r="B1178" s="3"/>
      <c r="C1178" s="3"/>
      <c r="D1178" s="3"/>
      <c r="E1178" s="59"/>
      <c r="F1178" s="59"/>
      <c r="G1178" s="59"/>
      <c r="H1178" s="34"/>
      <c r="I1178" s="60"/>
      <c r="J1178" s="60"/>
      <c r="K1178" s="60"/>
      <c r="L1178" s="61"/>
      <c r="M1178" s="5"/>
      <c r="N1178" s="13"/>
      <c r="O1178" s="8"/>
      <c r="P1178" s="8"/>
      <c r="Q1178" s="8"/>
      <c r="R1178" s="8"/>
      <c r="S1178" s="21"/>
      <c r="T1178" s="5"/>
      <c r="U1178" s="12"/>
      <c r="V1178" s="12"/>
    </row>
    <row r="1179" spans="1:22" s="53" customFormat="1" x14ac:dyDescent="0.35">
      <c r="A1179" s="2"/>
      <c r="B1179" s="3"/>
      <c r="C1179" s="3"/>
      <c r="D1179" s="3"/>
      <c r="E1179" s="59"/>
      <c r="F1179" s="59"/>
      <c r="G1179" s="59"/>
      <c r="H1179" s="34"/>
      <c r="I1179" s="60"/>
      <c r="J1179" s="60"/>
      <c r="K1179" s="60"/>
      <c r="L1179" s="61"/>
      <c r="M1179" s="5"/>
      <c r="N1179" s="13"/>
      <c r="O1179" s="8"/>
      <c r="P1179" s="8"/>
      <c r="Q1179" s="8"/>
      <c r="R1179" s="8"/>
      <c r="S1179" s="21"/>
      <c r="T1179" s="5"/>
      <c r="U1179" s="12"/>
      <c r="V1179" s="12"/>
    </row>
    <row r="1180" spans="1:22" s="53" customFormat="1" x14ac:dyDescent="0.35">
      <c r="A1180" s="2"/>
      <c r="B1180" s="3"/>
      <c r="C1180" s="3"/>
      <c r="D1180" s="3"/>
      <c r="E1180" s="59"/>
      <c r="F1180" s="59"/>
      <c r="G1180" s="59"/>
      <c r="H1180" s="34"/>
      <c r="I1180" s="60"/>
      <c r="J1180" s="60"/>
      <c r="K1180" s="60"/>
      <c r="L1180" s="61"/>
      <c r="M1180" s="5"/>
      <c r="N1180" s="13"/>
      <c r="O1180" s="8"/>
      <c r="P1180" s="8"/>
      <c r="Q1180" s="8"/>
      <c r="R1180" s="8"/>
      <c r="S1180" s="21"/>
      <c r="T1180" s="5"/>
      <c r="U1180" s="12"/>
      <c r="V1180" s="43"/>
    </row>
    <row r="1181" spans="1:22" s="53" customFormat="1" x14ac:dyDescent="0.35">
      <c r="A1181" s="2"/>
      <c r="B1181" s="3"/>
      <c r="C1181" s="3"/>
      <c r="D1181" s="3"/>
      <c r="E1181" s="59"/>
      <c r="F1181" s="59"/>
      <c r="G1181" s="59"/>
      <c r="H1181" s="34"/>
      <c r="I1181" s="60"/>
      <c r="J1181" s="60"/>
      <c r="K1181" s="60"/>
      <c r="L1181" s="61"/>
      <c r="M1181" s="5"/>
      <c r="N1181" s="13"/>
      <c r="O1181" s="8"/>
      <c r="P1181" s="8"/>
      <c r="Q1181" s="8"/>
      <c r="R1181" s="8"/>
      <c r="S1181" s="21"/>
      <c r="T1181" s="5"/>
      <c r="U1181" s="12"/>
      <c r="V1181" s="43"/>
    </row>
    <row r="1182" spans="1:22" s="53" customFormat="1" x14ac:dyDescent="0.35">
      <c r="A1182" s="2"/>
      <c r="B1182" s="3"/>
      <c r="C1182" s="3"/>
      <c r="D1182" s="3"/>
      <c r="E1182" s="59"/>
      <c r="F1182" s="59"/>
      <c r="G1182" s="59"/>
      <c r="H1182" s="34"/>
      <c r="I1182" s="60"/>
      <c r="J1182" s="60"/>
      <c r="K1182" s="60"/>
      <c r="L1182" s="61"/>
      <c r="M1182" s="5"/>
      <c r="N1182" s="13"/>
      <c r="O1182" s="8"/>
      <c r="P1182" s="8"/>
      <c r="Q1182" s="8"/>
      <c r="R1182" s="8"/>
      <c r="S1182" s="21"/>
      <c r="T1182" s="5"/>
      <c r="U1182" s="12"/>
      <c r="V1182" s="43"/>
    </row>
    <row r="1183" spans="1:22" s="53" customFormat="1" x14ac:dyDescent="0.35">
      <c r="A1183" s="2"/>
      <c r="B1183" s="3"/>
      <c r="C1183" s="3"/>
      <c r="D1183" s="3"/>
      <c r="E1183" s="59"/>
      <c r="F1183" s="59"/>
      <c r="G1183" s="59"/>
      <c r="H1183" s="34"/>
      <c r="I1183" s="60"/>
      <c r="J1183" s="60"/>
      <c r="K1183" s="60"/>
      <c r="L1183" s="61"/>
      <c r="M1183" s="5"/>
      <c r="N1183" s="13"/>
      <c r="O1183" s="8"/>
      <c r="P1183" s="8"/>
      <c r="Q1183" s="8"/>
      <c r="R1183" s="8"/>
      <c r="S1183" s="21"/>
      <c r="T1183" s="5"/>
      <c r="U1183" s="12"/>
      <c r="V1183" s="43"/>
    </row>
    <row r="1184" spans="1:22" s="53" customFormat="1" x14ac:dyDescent="0.35">
      <c r="A1184" s="2"/>
      <c r="B1184" s="3"/>
      <c r="C1184" s="3"/>
      <c r="D1184" s="3"/>
      <c r="E1184" s="59"/>
      <c r="F1184" s="59"/>
      <c r="G1184" s="59"/>
      <c r="H1184" s="34"/>
      <c r="I1184" s="60"/>
      <c r="J1184" s="60"/>
      <c r="K1184" s="60"/>
      <c r="L1184" s="61"/>
      <c r="M1184" s="5"/>
      <c r="N1184" s="13"/>
      <c r="O1184" s="8"/>
      <c r="P1184" s="8"/>
      <c r="Q1184" s="8"/>
      <c r="R1184" s="8"/>
      <c r="S1184" s="21"/>
      <c r="T1184" s="5"/>
      <c r="U1184" s="12"/>
      <c r="V1184" s="12"/>
    </row>
    <row r="1185" spans="1:22" s="53" customFormat="1" x14ac:dyDescent="0.35">
      <c r="A1185" s="2"/>
      <c r="B1185" s="3"/>
      <c r="C1185" s="3"/>
      <c r="D1185" s="3"/>
      <c r="E1185" s="59"/>
      <c r="F1185" s="59"/>
      <c r="G1185" s="59"/>
      <c r="H1185" s="34"/>
      <c r="I1185" s="60"/>
      <c r="J1185" s="60"/>
      <c r="K1185" s="60"/>
      <c r="L1185" s="61"/>
      <c r="M1185" s="5"/>
      <c r="N1185" s="13"/>
      <c r="O1185" s="8"/>
      <c r="P1185" s="8"/>
      <c r="Q1185" s="8"/>
      <c r="R1185" s="8"/>
      <c r="S1185" s="21"/>
      <c r="T1185" s="5"/>
      <c r="U1185" s="12"/>
      <c r="V1185" s="12"/>
    </row>
    <row r="1186" spans="1:22" s="53" customFormat="1" x14ac:dyDescent="0.35">
      <c r="A1186" s="2"/>
      <c r="B1186" s="3"/>
      <c r="C1186" s="3"/>
      <c r="D1186" s="3"/>
      <c r="E1186" s="59"/>
      <c r="F1186" s="59"/>
      <c r="G1186" s="59"/>
      <c r="H1186" s="34"/>
      <c r="I1186" s="60"/>
      <c r="J1186" s="60"/>
      <c r="K1186" s="60"/>
      <c r="L1186" s="61"/>
      <c r="M1186" s="5"/>
      <c r="N1186" s="13"/>
      <c r="O1186" s="8"/>
      <c r="P1186" s="8"/>
      <c r="Q1186" s="8"/>
      <c r="R1186" s="8"/>
      <c r="S1186" s="21"/>
      <c r="T1186" s="5"/>
      <c r="U1186" s="12"/>
      <c r="V1186" s="12"/>
    </row>
    <row r="1187" spans="1:22" s="53" customFormat="1" x14ac:dyDescent="0.35">
      <c r="A1187" s="2"/>
      <c r="B1187" s="3"/>
      <c r="C1187" s="3"/>
      <c r="D1187" s="3"/>
      <c r="E1187" s="59"/>
      <c r="F1187" s="59"/>
      <c r="G1187" s="59"/>
      <c r="H1187" s="34"/>
      <c r="I1187" s="60"/>
      <c r="J1187" s="60"/>
      <c r="K1187" s="60"/>
      <c r="L1187" s="61"/>
      <c r="M1187" s="5"/>
      <c r="N1187" s="13"/>
      <c r="O1187" s="8"/>
      <c r="P1187" s="8"/>
      <c r="Q1187" s="8"/>
      <c r="R1187" s="8"/>
      <c r="S1187" s="21"/>
      <c r="T1187" s="5"/>
      <c r="U1187" s="12"/>
      <c r="V1187" s="12"/>
    </row>
    <row r="1188" spans="1:22" s="53" customFormat="1" x14ac:dyDescent="0.35">
      <c r="A1188" s="2"/>
      <c r="B1188" s="3"/>
      <c r="C1188" s="3"/>
      <c r="D1188" s="3"/>
      <c r="E1188" s="59"/>
      <c r="F1188" s="59"/>
      <c r="G1188" s="59"/>
      <c r="H1188" s="34"/>
      <c r="I1188" s="60"/>
      <c r="J1188" s="60"/>
      <c r="K1188" s="60"/>
      <c r="L1188" s="61"/>
      <c r="M1188" s="5"/>
      <c r="N1188" s="13"/>
      <c r="O1188" s="8"/>
      <c r="P1188" s="8"/>
      <c r="Q1188" s="8"/>
      <c r="R1188" s="8"/>
      <c r="S1188" s="21"/>
      <c r="T1188" s="5"/>
      <c r="U1188" s="12"/>
      <c r="V1188" s="12"/>
    </row>
    <row r="1189" spans="1:22" s="53" customFormat="1" x14ac:dyDescent="0.35">
      <c r="A1189" s="2"/>
      <c r="B1189" s="3"/>
      <c r="C1189" s="3"/>
      <c r="D1189" s="3"/>
      <c r="E1189" s="59"/>
      <c r="F1189" s="59"/>
      <c r="G1189" s="59"/>
      <c r="H1189" s="34"/>
      <c r="I1189" s="60"/>
      <c r="J1189" s="60"/>
      <c r="K1189" s="60"/>
      <c r="L1189" s="61"/>
      <c r="M1189" s="5"/>
      <c r="N1189" s="13"/>
      <c r="O1189" s="8"/>
      <c r="P1189" s="8"/>
      <c r="Q1189" s="8"/>
      <c r="R1189" s="8"/>
      <c r="S1189" s="21"/>
      <c r="T1189" s="5"/>
      <c r="U1189" s="12"/>
      <c r="V1189" s="12"/>
    </row>
    <row r="1190" spans="1:22" s="53" customFormat="1" x14ac:dyDescent="0.35">
      <c r="A1190" s="2"/>
      <c r="B1190" s="3"/>
      <c r="C1190" s="3"/>
      <c r="D1190" s="3"/>
      <c r="E1190" s="59"/>
      <c r="F1190" s="59"/>
      <c r="G1190" s="59"/>
      <c r="H1190" s="34"/>
      <c r="I1190" s="60"/>
      <c r="J1190" s="60"/>
      <c r="K1190" s="60"/>
      <c r="L1190" s="61"/>
      <c r="M1190" s="5"/>
      <c r="N1190" s="13"/>
      <c r="O1190" s="8"/>
      <c r="P1190" s="8"/>
      <c r="Q1190" s="8"/>
      <c r="R1190" s="8"/>
      <c r="S1190" s="21"/>
      <c r="T1190" s="5"/>
      <c r="U1190" s="12"/>
      <c r="V1190" s="43"/>
    </row>
    <row r="1191" spans="1:22" s="53" customFormat="1" x14ac:dyDescent="0.35">
      <c r="A1191" s="2"/>
      <c r="B1191" s="3"/>
      <c r="C1191" s="3"/>
      <c r="D1191" s="3"/>
      <c r="E1191" s="59"/>
      <c r="F1191" s="59"/>
      <c r="G1191" s="59"/>
      <c r="H1191" s="34"/>
      <c r="I1191" s="60"/>
      <c r="J1191" s="60"/>
      <c r="K1191" s="60"/>
      <c r="L1191" s="61"/>
      <c r="M1191" s="5"/>
      <c r="N1191" s="13"/>
      <c r="O1191" s="8"/>
      <c r="P1191" s="8"/>
      <c r="Q1191" s="8"/>
      <c r="R1191" s="8"/>
      <c r="S1191" s="21"/>
      <c r="T1191" s="5"/>
      <c r="U1191" s="12"/>
      <c r="V1191" s="43"/>
    </row>
    <row r="1192" spans="1:22" s="53" customFormat="1" x14ac:dyDescent="0.35">
      <c r="A1192" s="2"/>
      <c r="B1192" s="3"/>
      <c r="C1192" s="3"/>
      <c r="D1192" s="3"/>
      <c r="E1192" s="59"/>
      <c r="F1192" s="59"/>
      <c r="G1192" s="59"/>
      <c r="H1192" s="34"/>
      <c r="I1192" s="60"/>
      <c r="J1192" s="60"/>
      <c r="K1192" s="60"/>
      <c r="L1192" s="61"/>
      <c r="M1192" s="5"/>
      <c r="N1192" s="13"/>
      <c r="O1192" s="8"/>
      <c r="P1192" s="8"/>
      <c r="Q1192" s="8"/>
      <c r="R1192" s="8"/>
      <c r="S1192" s="21"/>
      <c r="T1192" s="5"/>
      <c r="U1192" s="12"/>
      <c r="V1192" s="43"/>
    </row>
    <row r="1193" spans="1:22" s="53" customFormat="1" x14ac:dyDescent="0.35">
      <c r="A1193" s="2"/>
      <c r="B1193" s="3"/>
      <c r="C1193" s="3"/>
      <c r="D1193" s="3"/>
      <c r="E1193" s="59"/>
      <c r="F1193" s="59"/>
      <c r="G1193" s="59"/>
      <c r="H1193" s="34"/>
      <c r="I1193" s="60"/>
      <c r="J1193" s="60"/>
      <c r="K1193" s="60"/>
      <c r="L1193" s="61"/>
      <c r="M1193" s="5"/>
      <c r="N1193" s="13"/>
      <c r="O1193" s="8"/>
      <c r="P1193" s="8"/>
      <c r="Q1193" s="8"/>
      <c r="R1193" s="8"/>
      <c r="S1193" s="21"/>
      <c r="T1193" s="5"/>
      <c r="U1193" s="12"/>
      <c r="V1193" s="43"/>
    </row>
    <row r="1194" spans="1:22" s="53" customFormat="1" x14ac:dyDescent="0.35">
      <c r="A1194" s="2"/>
      <c r="B1194" s="3"/>
      <c r="C1194" s="3"/>
      <c r="D1194" s="3"/>
      <c r="E1194" s="59"/>
      <c r="F1194" s="59"/>
      <c r="G1194" s="59"/>
      <c r="H1194" s="34"/>
      <c r="I1194" s="60"/>
      <c r="J1194" s="60"/>
      <c r="K1194" s="60"/>
      <c r="L1194" s="61"/>
      <c r="M1194" s="5"/>
      <c r="N1194" s="13"/>
      <c r="O1194" s="8"/>
      <c r="P1194" s="8"/>
      <c r="Q1194" s="8"/>
      <c r="R1194" s="8"/>
      <c r="S1194" s="21"/>
      <c r="T1194" s="5"/>
      <c r="U1194" s="12"/>
      <c r="V1194" s="43"/>
    </row>
    <row r="1195" spans="1:22" s="53" customFormat="1" x14ac:dyDescent="0.35">
      <c r="A1195" s="2"/>
      <c r="B1195" s="3"/>
      <c r="C1195" s="3"/>
      <c r="D1195" s="3"/>
      <c r="E1195" s="59"/>
      <c r="F1195" s="59"/>
      <c r="G1195" s="59"/>
      <c r="H1195" s="34"/>
      <c r="I1195" s="60"/>
      <c r="J1195" s="60"/>
      <c r="K1195" s="60"/>
      <c r="L1195" s="61"/>
      <c r="M1195" s="5"/>
      <c r="N1195" s="13"/>
      <c r="O1195" s="8"/>
      <c r="P1195" s="8"/>
      <c r="Q1195" s="8"/>
      <c r="R1195" s="8"/>
      <c r="S1195" s="21"/>
      <c r="T1195" s="5"/>
      <c r="U1195" s="12"/>
      <c r="V1195" s="43"/>
    </row>
    <row r="1196" spans="1:22" s="53" customFormat="1" x14ac:dyDescent="0.35">
      <c r="A1196" s="2"/>
      <c r="B1196" s="3"/>
      <c r="C1196" s="3"/>
      <c r="D1196" s="3"/>
      <c r="E1196" s="59"/>
      <c r="F1196" s="59"/>
      <c r="G1196" s="59"/>
      <c r="H1196" s="34"/>
      <c r="I1196" s="60"/>
      <c r="J1196" s="60"/>
      <c r="K1196" s="60"/>
      <c r="L1196" s="61"/>
      <c r="M1196" s="5"/>
      <c r="N1196" s="13"/>
      <c r="O1196" s="8"/>
      <c r="P1196" s="8"/>
      <c r="Q1196" s="8"/>
      <c r="R1196" s="8"/>
      <c r="S1196" s="21"/>
      <c r="T1196" s="5"/>
      <c r="U1196" s="12"/>
      <c r="V1196" s="43"/>
    </row>
    <row r="1197" spans="1:22" s="53" customFormat="1" x14ac:dyDescent="0.35">
      <c r="A1197" s="2"/>
      <c r="B1197" s="3"/>
      <c r="C1197" s="3"/>
      <c r="D1197" s="3"/>
      <c r="E1197" s="59"/>
      <c r="F1197" s="59"/>
      <c r="G1197" s="59"/>
      <c r="H1197" s="34"/>
      <c r="I1197" s="60"/>
      <c r="J1197" s="60"/>
      <c r="K1197" s="60"/>
      <c r="L1197" s="61"/>
      <c r="M1197" s="5"/>
      <c r="N1197" s="13"/>
      <c r="O1197" s="8"/>
      <c r="P1197" s="8"/>
      <c r="Q1197" s="8"/>
      <c r="R1197" s="8"/>
      <c r="S1197" s="21"/>
      <c r="T1197" s="5"/>
      <c r="U1197" s="12"/>
      <c r="V1197" s="43"/>
    </row>
    <row r="1198" spans="1:22" s="53" customFormat="1" x14ac:dyDescent="0.35">
      <c r="A1198" s="2"/>
      <c r="B1198" s="3"/>
      <c r="C1198" s="3"/>
      <c r="D1198" s="3"/>
      <c r="E1198" s="59"/>
      <c r="F1198" s="59"/>
      <c r="G1198" s="59"/>
      <c r="H1198" s="34"/>
      <c r="I1198" s="60"/>
      <c r="J1198" s="60"/>
      <c r="K1198" s="60"/>
      <c r="L1198" s="61"/>
      <c r="M1198" s="5"/>
      <c r="N1198" s="13"/>
      <c r="O1198" s="8"/>
      <c r="P1198" s="8"/>
      <c r="Q1198" s="8"/>
      <c r="R1198" s="8"/>
      <c r="S1198" s="21"/>
      <c r="T1198" s="5"/>
      <c r="U1198" s="12"/>
      <c r="V1198" s="43"/>
    </row>
    <row r="1199" spans="1:22" s="53" customFormat="1" x14ac:dyDescent="0.35">
      <c r="A1199" s="2"/>
      <c r="B1199" s="3"/>
      <c r="C1199" s="3"/>
      <c r="D1199" s="3"/>
      <c r="E1199" s="59"/>
      <c r="F1199" s="59"/>
      <c r="G1199" s="59"/>
      <c r="H1199" s="34"/>
      <c r="I1199" s="60"/>
      <c r="J1199" s="60"/>
      <c r="K1199" s="60"/>
      <c r="L1199" s="61"/>
      <c r="M1199" s="5"/>
      <c r="N1199" s="13"/>
      <c r="O1199" s="8"/>
      <c r="P1199" s="8"/>
      <c r="Q1199" s="8"/>
      <c r="R1199" s="8"/>
      <c r="S1199" s="21"/>
      <c r="T1199" s="5"/>
      <c r="U1199" s="12"/>
      <c r="V1199" s="43"/>
    </row>
    <row r="1200" spans="1:22" s="53" customFormat="1" x14ac:dyDescent="0.35">
      <c r="A1200" s="2"/>
      <c r="B1200" s="3"/>
      <c r="C1200" s="3"/>
      <c r="D1200" s="3"/>
      <c r="E1200" s="59"/>
      <c r="F1200" s="59"/>
      <c r="G1200" s="59"/>
      <c r="H1200" s="34"/>
      <c r="I1200" s="60"/>
      <c r="J1200" s="60"/>
      <c r="K1200" s="60"/>
      <c r="L1200" s="61"/>
      <c r="M1200" s="5"/>
      <c r="N1200" s="13"/>
      <c r="O1200" s="8"/>
      <c r="P1200" s="8"/>
      <c r="Q1200" s="8"/>
      <c r="R1200" s="8"/>
      <c r="S1200" s="21"/>
      <c r="T1200" s="5"/>
      <c r="U1200" s="12"/>
      <c r="V1200" s="43"/>
    </row>
    <row r="1201" spans="1:22" s="53" customFormat="1" x14ac:dyDescent="0.35">
      <c r="A1201" s="2"/>
      <c r="B1201" s="3"/>
      <c r="C1201" s="3"/>
      <c r="D1201" s="3"/>
      <c r="E1201" s="59"/>
      <c r="F1201" s="59"/>
      <c r="G1201" s="59"/>
      <c r="H1201" s="34"/>
      <c r="I1201" s="60"/>
      <c r="J1201" s="60"/>
      <c r="K1201" s="60"/>
      <c r="L1201" s="61"/>
      <c r="M1201" s="5"/>
      <c r="N1201" s="13"/>
      <c r="O1201" s="8"/>
      <c r="P1201" s="8"/>
      <c r="Q1201" s="8"/>
      <c r="R1201" s="8"/>
      <c r="S1201" s="21"/>
      <c r="T1201" s="5"/>
      <c r="U1201" s="12"/>
      <c r="V1201" s="43"/>
    </row>
    <row r="1202" spans="1:22" s="53" customFormat="1" x14ac:dyDescent="0.35">
      <c r="A1202" s="2"/>
      <c r="B1202" s="3"/>
      <c r="C1202" s="3"/>
      <c r="D1202" s="3"/>
      <c r="E1202" s="59"/>
      <c r="F1202" s="59"/>
      <c r="G1202" s="59"/>
      <c r="H1202" s="34"/>
      <c r="I1202" s="60"/>
      <c r="J1202" s="60"/>
      <c r="K1202" s="60"/>
      <c r="L1202" s="61"/>
      <c r="M1202" s="5"/>
      <c r="N1202" s="13"/>
      <c r="O1202" s="8"/>
      <c r="P1202" s="8"/>
      <c r="Q1202" s="8"/>
      <c r="R1202" s="8"/>
      <c r="S1202" s="21"/>
      <c r="T1202" s="5"/>
      <c r="U1202" s="12"/>
      <c r="V1202" s="43"/>
    </row>
    <row r="1203" spans="1:22" s="53" customFormat="1" x14ac:dyDescent="0.35">
      <c r="A1203" s="2"/>
      <c r="B1203" s="3"/>
      <c r="C1203" s="3"/>
      <c r="D1203" s="3"/>
      <c r="E1203" s="59"/>
      <c r="F1203" s="59"/>
      <c r="G1203" s="59"/>
      <c r="H1203" s="34"/>
      <c r="I1203" s="60"/>
      <c r="J1203" s="60"/>
      <c r="K1203" s="60"/>
      <c r="L1203" s="61"/>
      <c r="M1203" s="5"/>
      <c r="N1203" s="13"/>
      <c r="O1203" s="8"/>
      <c r="P1203" s="8"/>
      <c r="Q1203" s="8"/>
      <c r="R1203" s="8"/>
      <c r="S1203" s="21"/>
      <c r="T1203" s="5"/>
      <c r="U1203" s="12"/>
      <c r="V1203" s="43"/>
    </row>
    <row r="1204" spans="1:22" s="53" customFormat="1" x14ac:dyDescent="0.35">
      <c r="A1204" s="2"/>
      <c r="B1204" s="3"/>
      <c r="C1204" s="3"/>
      <c r="D1204" s="3"/>
      <c r="E1204" s="59"/>
      <c r="F1204" s="59"/>
      <c r="G1204" s="59"/>
      <c r="H1204" s="34"/>
      <c r="I1204" s="60"/>
      <c r="J1204" s="60"/>
      <c r="K1204" s="60"/>
      <c r="L1204" s="61"/>
      <c r="M1204" s="5"/>
      <c r="N1204" s="13"/>
      <c r="O1204" s="8"/>
      <c r="P1204" s="8"/>
      <c r="Q1204" s="8"/>
      <c r="R1204" s="8"/>
      <c r="S1204" s="21"/>
      <c r="T1204" s="5"/>
      <c r="U1204" s="12"/>
      <c r="V1204" s="43"/>
    </row>
    <row r="1205" spans="1:22" s="53" customFormat="1" x14ac:dyDescent="0.35">
      <c r="A1205" s="2"/>
      <c r="B1205" s="3"/>
      <c r="C1205" s="3"/>
      <c r="D1205" s="3"/>
      <c r="E1205" s="59"/>
      <c r="F1205" s="59"/>
      <c r="G1205" s="59"/>
      <c r="H1205" s="34"/>
      <c r="I1205" s="60"/>
      <c r="J1205" s="60"/>
      <c r="K1205" s="60"/>
      <c r="L1205" s="61"/>
      <c r="M1205" s="5"/>
      <c r="N1205" s="13"/>
      <c r="O1205" s="8"/>
      <c r="P1205" s="8"/>
      <c r="Q1205" s="8"/>
      <c r="R1205" s="8"/>
      <c r="S1205" s="21"/>
      <c r="T1205" s="5"/>
      <c r="U1205" s="12"/>
      <c r="V1205" s="43"/>
    </row>
    <row r="1206" spans="1:22" s="53" customFormat="1" x14ac:dyDescent="0.35">
      <c r="A1206" s="2"/>
      <c r="B1206" s="3"/>
      <c r="C1206" s="3"/>
      <c r="D1206" s="3"/>
      <c r="E1206" s="59"/>
      <c r="F1206" s="59"/>
      <c r="G1206" s="59"/>
      <c r="H1206" s="34"/>
      <c r="I1206" s="60"/>
      <c r="J1206" s="60"/>
      <c r="K1206" s="60"/>
      <c r="L1206" s="61"/>
      <c r="M1206" s="5"/>
      <c r="N1206" s="13"/>
      <c r="O1206" s="8"/>
      <c r="P1206" s="8"/>
      <c r="Q1206" s="8"/>
      <c r="R1206" s="8"/>
      <c r="S1206" s="21"/>
      <c r="T1206" s="5"/>
      <c r="U1206" s="12"/>
      <c r="V1206" s="12"/>
    </row>
    <row r="1207" spans="1:22" s="53" customFormat="1" x14ac:dyDescent="0.35">
      <c r="A1207" s="2"/>
      <c r="B1207" s="3"/>
      <c r="C1207" s="3"/>
      <c r="D1207" s="3"/>
      <c r="E1207" s="59"/>
      <c r="F1207" s="59"/>
      <c r="G1207" s="59"/>
      <c r="H1207" s="34"/>
      <c r="I1207" s="60"/>
      <c r="J1207" s="60"/>
      <c r="K1207" s="60"/>
      <c r="L1207" s="61"/>
      <c r="M1207" s="5"/>
      <c r="N1207" s="13"/>
      <c r="O1207" s="8"/>
      <c r="P1207" s="8"/>
      <c r="Q1207" s="8"/>
      <c r="R1207" s="8"/>
      <c r="S1207" s="21"/>
      <c r="T1207" s="5"/>
      <c r="U1207" s="12"/>
      <c r="V1207" s="43"/>
    </row>
    <row r="1208" spans="1:22" s="53" customFormat="1" x14ac:dyDescent="0.35">
      <c r="A1208" s="2"/>
      <c r="B1208" s="3"/>
      <c r="C1208" s="3"/>
      <c r="D1208" s="3"/>
      <c r="E1208" s="59"/>
      <c r="F1208" s="59"/>
      <c r="G1208" s="59"/>
      <c r="H1208" s="34"/>
      <c r="I1208" s="60"/>
      <c r="J1208" s="60"/>
      <c r="K1208" s="60"/>
      <c r="L1208" s="61"/>
      <c r="M1208" s="5"/>
      <c r="N1208" s="13"/>
      <c r="O1208" s="8"/>
      <c r="P1208" s="8"/>
      <c r="Q1208" s="8"/>
      <c r="R1208" s="8"/>
      <c r="S1208" s="21"/>
      <c r="T1208" s="5"/>
      <c r="U1208" s="12"/>
      <c r="V1208" s="43"/>
    </row>
    <row r="1209" spans="1:22" s="53" customFormat="1" x14ac:dyDescent="0.35">
      <c r="A1209" s="2"/>
      <c r="B1209" s="3"/>
      <c r="C1209" s="3"/>
      <c r="D1209" s="3"/>
      <c r="E1209" s="59"/>
      <c r="F1209" s="59"/>
      <c r="G1209" s="59"/>
      <c r="H1209" s="34"/>
      <c r="I1209" s="60"/>
      <c r="J1209" s="60"/>
      <c r="K1209" s="60"/>
      <c r="L1209" s="61"/>
      <c r="M1209" s="5"/>
      <c r="N1209" s="13"/>
      <c r="O1209" s="8"/>
      <c r="P1209" s="8"/>
      <c r="Q1209" s="8"/>
      <c r="R1209" s="8"/>
      <c r="S1209" s="21"/>
      <c r="T1209" s="5"/>
      <c r="U1209" s="12"/>
      <c r="V1209" s="12"/>
    </row>
    <row r="1210" spans="1:22" s="53" customFormat="1" x14ac:dyDescent="0.35">
      <c r="A1210" s="2"/>
      <c r="B1210" s="3"/>
      <c r="C1210" s="3"/>
      <c r="D1210" s="3"/>
      <c r="E1210" s="59"/>
      <c r="F1210" s="59"/>
      <c r="G1210" s="59"/>
      <c r="H1210" s="34"/>
      <c r="I1210" s="60"/>
      <c r="J1210" s="60"/>
      <c r="K1210" s="60"/>
      <c r="L1210" s="61"/>
      <c r="M1210" s="5"/>
      <c r="N1210" s="13"/>
      <c r="O1210" s="8"/>
      <c r="P1210" s="8"/>
      <c r="Q1210" s="8"/>
      <c r="R1210" s="8"/>
      <c r="S1210" s="21"/>
      <c r="T1210" s="5"/>
      <c r="U1210" s="12"/>
      <c r="V1210" s="12"/>
    </row>
    <row r="1211" spans="1:22" s="53" customFormat="1" x14ac:dyDescent="0.35">
      <c r="A1211" s="2"/>
      <c r="B1211" s="3"/>
      <c r="C1211" s="3"/>
      <c r="D1211" s="3"/>
      <c r="E1211" s="59"/>
      <c r="F1211" s="59"/>
      <c r="G1211" s="59"/>
      <c r="H1211" s="34"/>
      <c r="I1211" s="60"/>
      <c r="J1211" s="60"/>
      <c r="K1211" s="60"/>
      <c r="L1211" s="61"/>
      <c r="M1211" s="5"/>
      <c r="N1211" s="13"/>
      <c r="O1211" s="8"/>
      <c r="P1211" s="8"/>
      <c r="Q1211" s="8"/>
      <c r="R1211" s="8"/>
      <c r="S1211" s="21"/>
      <c r="T1211" s="5"/>
      <c r="U1211" s="12"/>
      <c r="V1211" s="43"/>
    </row>
    <row r="1212" spans="1:22" s="53" customFormat="1" x14ac:dyDescent="0.35">
      <c r="A1212" s="2"/>
      <c r="B1212" s="3"/>
      <c r="C1212" s="3"/>
      <c r="D1212" s="3"/>
      <c r="E1212" s="59"/>
      <c r="F1212" s="59"/>
      <c r="G1212" s="59"/>
      <c r="H1212" s="34"/>
      <c r="I1212" s="60"/>
      <c r="J1212" s="60"/>
      <c r="K1212" s="60"/>
      <c r="L1212" s="61"/>
      <c r="M1212" s="5"/>
      <c r="N1212" s="13"/>
      <c r="O1212" s="8"/>
      <c r="P1212" s="8"/>
      <c r="Q1212" s="8"/>
      <c r="R1212" s="8"/>
      <c r="S1212" s="21"/>
      <c r="T1212" s="5"/>
      <c r="U1212" s="12"/>
      <c r="V1212" s="43"/>
    </row>
    <row r="1213" spans="1:22" s="53" customFormat="1" x14ac:dyDescent="0.35">
      <c r="A1213" s="2"/>
      <c r="B1213" s="3"/>
      <c r="C1213" s="3"/>
      <c r="D1213" s="3"/>
      <c r="E1213" s="59"/>
      <c r="F1213" s="59"/>
      <c r="G1213" s="59"/>
      <c r="H1213" s="34"/>
      <c r="I1213" s="60"/>
      <c r="J1213" s="60"/>
      <c r="K1213" s="60"/>
      <c r="L1213" s="61"/>
      <c r="M1213" s="5"/>
      <c r="N1213" s="13"/>
      <c r="O1213" s="8"/>
      <c r="P1213" s="8"/>
      <c r="Q1213" s="8"/>
      <c r="R1213" s="8"/>
      <c r="S1213" s="21"/>
      <c r="T1213" s="5"/>
      <c r="U1213" s="12"/>
      <c r="V1213" s="43"/>
    </row>
    <row r="1214" spans="1:22" s="53" customFormat="1" x14ac:dyDescent="0.35">
      <c r="A1214" s="2"/>
      <c r="B1214" s="3"/>
      <c r="C1214" s="3"/>
      <c r="D1214" s="3"/>
      <c r="E1214" s="59"/>
      <c r="F1214" s="59"/>
      <c r="G1214" s="59"/>
      <c r="H1214" s="34"/>
      <c r="I1214" s="60"/>
      <c r="J1214" s="60"/>
      <c r="K1214" s="60"/>
      <c r="L1214" s="61"/>
      <c r="M1214" s="5"/>
      <c r="N1214" s="13"/>
      <c r="O1214" s="8"/>
      <c r="P1214" s="8"/>
      <c r="Q1214" s="8"/>
      <c r="R1214" s="8"/>
      <c r="S1214" s="21"/>
      <c r="T1214" s="5"/>
      <c r="U1214" s="12"/>
      <c r="V1214" s="43"/>
    </row>
    <row r="1215" spans="1:22" s="53" customFormat="1" x14ac:dyDescent="0.35">
      <c r="A1215" s="2"/>
      <c r="B1215" s="3"/>
      <c r="C1215" s="3"/>
      <c r="D1215" s="3"/>
      <c r="E1215" s="59"/>
      <c r="F1215" s="59"/>
      <c r="G1215" s="59"/>
      <c r="H1215" s="34"/>
      <c r="I1215" s="60"/>
      <c r="J1215" s="60"/>
      <c r="K1215" s="60"/>
      <c r="L1215" s="61"/>
      <c r="M1215" s="5"/>
      <c r="N1215" s="13"/>
      <c r="O1215" s="8"/>
      <c r="P1215" s="8"/>
      <c r="Q1215" s="8"/>
      <c r="R1215" s="8"/>
      <c r="S1215" s="21"/>
      <c r="T1215" s="5"/>
      <c r="U1215" s="12"/>
      <c r="V1215" s="12"/>
    </row>
    <row r="1216" spans="1:22" s="53" customFormat="1" x14ac:dyDescent="0.35">
      <c r="A1216" s="2"/>
      <c r="B1216" s="3"/>
      <c r="C1216" s="3"/>
      <c r="D1216" s="3"/>
      <c r="E1216" s="59"/>
      <c r="F1216" s="59"/>
      <c r="G1216" s="59"/>
      <c r="H1216" s="34"/>
      <c r="I1216" s="60"/>
      <c r="J1216" s="60"/>
      <c r="K1216" s="60"/>
      <c r="L1216" s="61"/>
      <c r="M1216" s="5"/>
      <c r="N1216" s="13"/>
      <c r="O1216" s="8"/>
      <c r="P1216" s="8"/>
      <c r="Q1216" s="8"/>
      <c r="R1216" s="8"/>
      <c r="S1216" s="21"/>
      <c r="T1216" s="5"/>
      <c r="U1216" s="12"/>
      <c r="V1216" s="12"/>
    </row>
    <row r="1217" spans="1:22" s="53" customFormat="1" x14ac:dyDescent="0.35">
      <c r="A1217" s="2"/>
      <c r="B1217" s="3"/>
      <c r="C1217" s="3"/>
      <c r="D1217" s="3"/>
      <c r="E1217" s="59"/>
      <c r="F1217" s="59"/>
      <c r="G1217" s="59"/>
      <c r="H1217" s="34"/>
      <c r="I1217" s="60"/>
      <c r="J1217" s="60"/>
      <c r="K1217" s="60"/>
      <c r="L1217" s="61"/>
      <c r="M1217" s="5"/>
      <c r="N1217" s="13"/>
      <c r="O1217" s="8"/>
      <c r="P1217" s="8"/>
      <c r="Q1217" s="8"/>
      <c r="R1217" s="8"/>
      <c r="S1217" s="21"/>
      <c r="T1217" s="5"/>
      <c r="U1217" s="12"/>
      <c r="V1217" s="12"/>
    </row>
    <row r="1218" spans="1:22" s="53" customFormat="1" x14ac:dyDescent="0.35">
      <c r="A1218" s="2"/>
      <c r="B1218" s="3"/>
      <c r="C1218" s="3"/>
      <c r="D1218" s="3"/>
      <c r="E1218" s="59"/>
      <c r="F1218" s="59"/>
      <c r="G1218" s="59"/>
      <c r="H1218" s="34"/>
      <c r="I1218" s="60"/>
      <c r="J1218" s="60"/>
      <c r="K1218" s="60"/>
      <c r="L1218" s="61"/>
      <c r="M1218" s="5"/>
      <c r="N1218" s="13"/>
      <c r="O1218" s="8"/>
      <c r="P1218" s="8"/>
      <c r="Q1218" s="8"/>
      <c r="R1218" s="8"/>
      <c r="S1218" s="12"/>
      <c r="T1218" s="5"/>
      <c r="U1218" s="12"/>
      <c r="V1218" s="12"/>
    </row>
    <row r="1219" spans="1:22" s="53" customFormat="1" x14ac:dyDescent="0.35">
      <c r="A1219" s="2"/>
      <c r="B1219" s="3"/>
      <c r="C1219" s="3"/>
      <c r="D1219" s="3"/>
      <c r="E1219" s="59"/>
      <c r="F1219" s="59"/>
      <c r="G1219" s="59"/>
      <c r="H1219" s="34"/>
      <c r="I1219" s="60"/>
      <c r="J1219" s="60"/>
      <c r="K1219" s="60"/>
      <c r="L1219" s="61"/>
      <c r="M1219" s="5"/>
      <c r="N1219" s="13"/>
      <c r="O1219" s="8"/>
      <c r="P1219" s="8"/>
      <c r="Q1219" s="8"/>
      <c r="R1219" s="8"/>
      <c r="S1219" s="21"/>
      <c r="T1219" s="5"/>
      <c r="U1219" s="33"/>
      <c r="V1219" s="58"/>
    </row>
    <row r="1220" spans="1:22" s="53" customFormat="1" x14ac:dyDescent="0.35">
      <c r="A1220" s="2"/>
      <c r="B1220" s="3"/>
      <c r="C1220" s="3"/>
      <c r="D1220" s="3"/>
      <c r="E1220" s="59"/>
      <c r="F1220" s="59"/>
      <c r="G1220" s="59"/>
      <c r="H1220" s="34"/>
      <c r="I1220" s="60"/>
      <c r="J1220" s="60"/>
      <c r="K1220" s="60"/>
      <c r="L1220" s="61"/>
      <c r="M1220" s="5"/>
      <c r="N1220" s="13"/>
      <c r="O1220" s="8"/>
      <c r="P1220" s="8"/>
      <c r="Q1220" s="8"/>
      <c r="R1220" s="8"/>
      <c r="S1220" s="21"/>
      <c r="T1220" s="5"/>
      <c r="U1220" s="12"/>
      <c r="V1220" s="43"/>
    </row>
    <row r="1221" spans="1:22" s="53" customFormat="1" x14ac:dyDescent="0.35">
      <c r="A1221" s="2"/>
      <c r="B1221" s="3"/>
      <c r="C1221" s="3"/>
      <c r="D1221" s="3"/>
      <c r="E1221" s="59"/>
      <c r="F1221" s="59"/>
      <c r="G1221" s="59"/>
      <c r="H1221" s="34"/>
      <c r="I1221" s="60"/>
      <c r="J1221" s="60"/>
      <c r="K1221" s="60"/>
      <c r="L1221" s="61"/>
      <c r="M1221" s="5"/>
      <c r="N1221" s="13"/>
      <c r="O1221" s="8"/>
      <c r="P1221" s="8"/>
      <c r="Q1221" s="8"/>
      <c r="R1221" s="8"/>
      <c r="S1221" s="21"/>
      <c r="T1221" s="5"/>
      <c r="U1221" s="12"/>
      <c r="V1221" s="43"/>
    </row>
    <row r="1222" spans="1:22" s="53" customFormat="1" x14ac:dyDescent="0.35">
      <c r="A1222" s="2"/>
      <c r="B1222" s="3"/>
      <c r="C1222" s="3"/>
      <c r="D1222" s="3"/>
      <c r="E1222" s="59"/>
      <c r="F1222" s="59"/>
      <c r="G1222" s="59"/>
      <c r="H1222" s="34"/>
      <c r="I1222" s="60"/>
      <c r="J1222" s="60"/>
      <c r="K1222" s="60"/>
      <c r="L1222" s="61"/>
      <c r="M1222" s="5"/>
      <c r="N1222" s="13"/>
      <c r="O1222" s="8"/>
      <c r="P1222" s="8"/>
      <c r="Q1222" s="8"/>
      <c r="R1222" s="8"/>
      <c r="S1222" s="21"/>
      <c r="T1222" s="5"/>
      <c r="U1222" s="12"/>
      <c r="V1222" s="43"/>
    </row>
    <row r="1223" spans="1:22" s="53" customFormat="1" x14ac:dyDescent="0.35">
      <c r="A1223" s="2"/>
      <c r="B1223" s="3"/>
      <c r="C1223" s="3"/>
      <c r="D1223" s="3"/>
      <c r="E1223" s="59"/>
      <c r="F1223" s="59"/>
      <c r="G1223" s="59"/>
      <c r="H1223" s="34"/>
      <c r="I1223" s="60"/>
      <c r="J1223" s="60"/>
      <c r="K1223" s="60"/>
      <c r="L1223" s="61"/>
      <c r="M1223" s="5"/>
      <c r="N1223" s="13"/>
      <c r="O1223" s="8"/>
      <c r="P1223" s="8"/>
      <c r="Q1223" s="8"/>
      <c r="R1223" s="8"/>
      <c r="S1223" s="21"/>
      <c r="T1223" s="5"/>
      <c r="U1223" s="12"/>
      <c r="V1223" s="43"/>
    </row>
    <row r="1224" spans="1:22" s="53" customFormat="1" x14ac:dyDescent="0.35">
      <c r="A1224" s="2"/>
      <c r="B1224" s="3"/>
      <c r="C1224" s="3"/>
      <c r="D1224" s="3"/>
      <c r="E1224" s="59"/>
      <c r="F1224" s="59"/>
      <c r="G1224" s="59"/>
      <c r="H1224" s="34"/>
      <c r="I1224" s="60"/>
      <c r="J1224" s="60"/>
      <c r="K1224" s="60"/>
      <c r="L1224" s="61"/>
      <c r="M1224" s="5"/>
      <c r="N1224" s="13"/>
      <c r="O1224" s="8"/>
      <c r="P1224" s="8"/>
      <c r="Q1224" s="8"/>
      <c r="R1224" s="8"/>
      <c r="S1224" s="21"/>
      <c r="T1224" s="5"/>
      <c r="U1224" s="12"/>
      <c r="V1224" s="43"/>
    </row>
    <row r="1225" spans="1:22" s="53" customFormat="1" x14ac:dyDescent="0.35">
      <c r="A1225" s="2"/>
      <c r="B1225" s="3"/>
      <c r="C1225" s="3"/>
      <c r="D1225" s="3"/>
      <c r="E1225" s="59"/>
      <c r="F1225" s="59"/>
      <c r="G1225" s="59"/>
      <c r="H1225" s="34"/>
      <c r="I1225" s="60"/>
      <c r="J1225" s="60"/>
      <c r="K1225" s="60"/>
      <c r="L1225" s="61"/>
      <c r="M1225" s="5"/>
      <c r="N1225" s="13"/>
      <c r="O1225" s="8"/>
      <c r="P1225" s="8"/>
      <c r="Q1225" s="8"/>
      <c r="R1225" s="8"/>
      <c r="S1225" s="21"/>
      <c r="T1225" s="5"/>
      <c r="U1225" s="12"/>
      <c r="V1225" s="43"/>
    </row>
    <row r="1226" spans="1:22" s="53" customFormat="1" x14ac:dyDescent="0.35">
      <c r="A1226" s="2"/>
      <c r="B1226" s="3"/>
      <c r="C1226" s="3"/>
      <c r="D1226" s="3"/>
      <c r="E1226" s="59"/>
      <c r="F1226" s="59"/>
      <c r="G1226" s="59"/>
      <c r="H1226" s="34"/>
      <c r="I1226" s="60"/>
      <c r="J1226" s="60"/>
      <c r="K1226" s="60"/>
      <c r="L1226" s="61"/>
      <c r="M1226" s="5"/>
      <c r="N1226" s="13"/>
      <c r="O1226" s="8"/>
      <c r="P1226" s="8"/>
      <c r="Q1226" s="8"/>
      <c r="R1226" s="8"/>
      <c r="S1226" s="21"/>
      <c r="T1226" s="5"/>
      <c r="U1226" s="12"/>
      <c r="V1226" s="43"/>
    </row>
    <row r="1227" spans="1:22" s="53" customFormat="1" x14ac:dyDescent="0.35">
      <c r="A1227" s="2"/>
      <c r="B1227" s="3"/>
      <c r="C1227" s="3"/>
      <c r="D1227" s="3"/>
      <c r="E1227" s="59"/>
      <c r="F1227" s="59"/>
      <c r="G1227" s="59"/>
      <c r="H1227" s="34"/>
      <c r="I1227" s="60"/>
      <c r="J1227" s="60"/>
      <c r="K1227" s="60"/>
      <c r="L1227" s="61"/>
      <c r="M1227" s="5"/>
      <c r="N1227" s="13"/>
      <c r="O1227" s="8"/>
      <c r="P1227" s="8"/>
      <c r="Q1227" s="8"/>
      <c r="R1227" s="8"/>
      <c r="S1227" s="21"/>
      <c r="T1227" s="5"/>
      <c r="U1227" s="12"/>
      <c r="V1227" s="43"/>
    </row>
    <row r="1228" spans="1:22" s="53" customFormat="1" x14ac:dyDescent="0.35">
      <c r="A1228" s="2"/>
      <c r="B1228" s="3"/>
      <c r="C1228" s="3"/>
      <c r="D1228" s="3"/>
      <c r="E1228" s="59"/>
      <c r="F1228" s="59"/>
      <c r="G1228" s="59"/>
      <c r="H1228" s="34"/>
      <c r="I1228" s="60"/>
      <c r="J1228" s="60"/>
      <c r="K1228" s="60"/>
      <c r="L1228" s="61"/>
      <c r="M1228" s="5"/>
      <c r="N1228" s="13"/>
      <c r="O1228" s="8"/>
      <c r="P1228" s="8"/>
      <c r="Q1228" s="8"/>
      <c r="R1228" s="8"/>
      <c r="S1228" s="21"/>
      <c r="T1228" s="5"/>
      <c r="U1228" s="12"/>
      <c r="V1228" s="43"/>
    </row>
    <row r="1229" spans="1:22" s="53" customFormat="1" x14ac:dyDescent="0.35">
      <c r="A1229" s="2"/>
      <c r="B1229" s="3"/>
      <c r="C1229" s="3"/>
      <c r="D1229" s="3"/>
      <c r="E1229" s="59"/>
      <c r="F1229" s="59"/>
      <c r="G1229" s="59"/>
      <c r="H1229" s="34"/>
      <c r="I1229" s="60"/>
      <c r="J1229" s="60"/>
      <c r="K1229" s="60"/>
      <c r="L1229" s="61"/>
      <c r="M1229" s="5"/>
      <c r="N1229" s="13"/>
      <c r="O1229" s="8"/>
      <c r="P1229" s="8"/>
      <c r="Q1229" s="8"/>
      <c r="R1229" s="8"/>
      <c r="S1229" s="21"/>
      <c r="T1229" s="5"/>
      <c r="U1229" s="12"/>
      <c r="V1229" s="43"/>
    </row>
    <row r="1230" spans="1:22" s="53" customFormat="1" x14ac:dyDescent="0.35">
      <c r="A1230" s="2"/>
      <c r="B1230" s="3"/>
      <c r="C1230" s="3"/>
      <c r="D1230" s="3"/>
      <c r="E1230" s="59"/>
      <c r="F1230" s="59"/>
      <c r="G1230" s="59"/>
      <c r="H1230" s="34"/>
      <c r="I1230" s="60"/>
      <c r="J1230" s="60"/>
      <c r="K1230" s="60"/>
      <c r="L1230" s="61"/>
      <c r="M1230" s="5"/>
      <c r="N1230" s="13"/>
      <c r="O1230" s="8"/>
      <c r="P1230" s="8"/>
      <c r="Q1230" s="8"/>
      <c r="R1230" s="8"/>
      <c r="S1230" s="21"/>
      <c r="T1230" s="5"/>
      <c r="U1230" s="12"/>
      <c r="V1230" s="43"/>
    </row>
    <row r="1231" spans="1:22" s="53" customFormat="1" x14ac:dyDescent="0.35">
      <c r="A1231" s="2"/>
      <c r="B1231" s="3"/>
      <c r="C1231" s="3"/>
      <c r="D1231" s="3"/>
      <c r="E1231" s="59"/>
      <c r="F1231" s="59"/>
      <c r="G1231" s="59"/>
      <c r="H1231" s="34"/>
      <c r="I1231" s="60"/>
      <c r="J1231" s="60"/>
      <c r="K1231" s="60"/>
      <c r="L1231" s="61"/>
      <c r="M1231" s="5"/>
      <c r="N1231" s="13"/>
      <c r="O1231" s="8"/>
      <c r="P1231" s="8"/>
      <c r="Q1231" s="8"/>
      <c r="R1231" s="8"/>
      <c r="S1231" s="21"/>
      <c r="T1231" s="5"/>
      <c r="U1231" s="12"/>
      <c r="V1231" s="43"/>
    </row>
    <row r="1232" spans="1:22" s="53" customFormat="1" x14ac:dyDescent="0.35">
      <c r="A1232" s="2"/>
      <c r="B1232" s="3"/>
      <c r="C1232" s="3"/>
      <c r="D1232" s="3"/>
      <c r="E1232" s="59"/>
      <c r="F1232" s="59"/>
      <c r="G1232" s="59"/>
      <c r="H1232" s="34"/>
      <c r="I1232" s="60"/>
      <c r="J1232" s="60"/>
      <c r="K1232" s="60"/>
      <c r="L1232" s="61"/>
      <c r="M1232" s="5"/>
      <c r="N1232" s="13"/>
      <c r="O1232" s="8"/>
      <c r="P1232" s="8"/>
      <c r="Q1232" s="8"/>
      <c r="R1232" s="8"/>
      <c r="S1232" s="21"/>
      <c r="T1232" s="5"/>
      <c r="U1232" s="12"/>
      <c r="V1232" s="43"/>
    </row>
    <row r="1233" spans="1:22" s="53" customFormat="1" x14ac:dyDescent="0.35">
      <c r="A1233" s="2"/>
      <c r="B1233" s="3"/>
      <c r="C1233" s="3"/>
      <c r="D1233" s="3"/>
      <c r="E1233" s="59"/>
      <c r="F1233" s="59"/>
      <c r="G1233" s="59"/>
      <c r="H1233" s="34"/>
      <c r="I1233" s="60"/>
      <c r="J1233" s="60"/>
      <c r="K1233" s="60"/>
      <c r="L1233" s="61"/>
      <c r="M1233" s="5"/>
      <c r="N1233" s="13"/>
      <c r="O1233" s="8"/>
      <c r="P1233" s="8"/>
      <c r="Q1233" s="8"/>
      <c r="R1233" s="8"/>
      <c r="S1233" s="21"/>
      <c r="T1233" s="5"/>
      <c r="U1233" s="12"/>
      <c r="V1233" s="43"/>
    </row>
    <row r="1234" spans="1:22" s="53" customFormat="1" x14ac:dyDescent="0.35">
      <c r="A1234" s="2"/>
      <c r="B1234" s="3"/>
      <c r="C1234" s="3"/>
      <c r="D1234" s="3"/>
      <c r="E1234" s="59"/>
      <c r="F1234" s="59"/>
      <c r="G1234" s="59"/>
      <c r="H1234" s="34"/>
      <c r="I1234" s="60"/>
      <c r="J1234" s="60"/>
      <c r="K1234" s="60"/>
      <c r="L1234" s="61"/>
      <c r="M1234" s="5"/>
      <c r="N1234" s="13"/>
      <c r="O1234" s="8"/>
      <c r="P1234" s="8"/>
      <c r="Q1234" s="8"/>
      <c r="R1234" s="8"/>
      <c r="S1234" s="21"/>
      <c r="T1234" s="5"/>
      <c r="U1234" s="12"/>
      <c r="V1234" s="43"/>
    </row>
    <row r="1235" spans="1:22" s="53" customFormat="1" x14ac:dyDescent="0.35">
      <c r="A1235" s="2"/>
      <c r="B1235" s="3"/>
      <c r="C1235" s="3"/>
      <c r="D1235" s="3"/>
      <c r="E1235" s="59"/>
      <c r="F1235" s="59"/>
      <c r="G1235" s="59"/>
      <c r="H1235" s="34"/>
      <c r="I1235" s="60"/>
      <c r="J1235" s="60"/>
      <c r="K1235" s="60"/>
      <c r="L1235" s="61"/>
      <c r="M1235" s="5"/>
      <c r="N1235" s="13"/>
      <c r="O1235" s="8"/>
      <c r="P1235" s="8"/>
      <c r="Q1235" s="8"/>
      <c r="R1235" s="8"/>
      <c r="S1235" s="21"/>
      <c r="T1235" s="5"/>
      <c r="U1235" s="12"/>
      <c r="V1235" s="12"/>
    </row>
    <row r="1236" spans="1:22" s="53" customFormat="1" x14ac:dyDescent="0.35">
      <c r="A1236" s="2"/>
      <c r="B1236" s="3"/>
      <c r="C1236" s="3"/>
      <c r="D1236" s="3"/>
      <c r="E1236" s="59"/>
      <c r="F1236" s="59"/>
      <c r="G1236" s="59"/>
      <c r="H1236" s="34"/>
      <c r="I1236" s="60"/>
      <c r="J1236" s="60"/>
      <c r="K1236" s="60"/>
      <c r="L1236" s="61"/>
      <c r="M1236" s="5"/>
      <c r="N1236" s="13"/>
      <c r="O1236" s="8"/>
      <c r="P1236" s="8"/>
      <c r="Q1236" s="8"/>
      <c r="R1236" s="8"/>
      <c r="S1236" s="21"/>
      <c r="T1236" s="5"/>
      <c r="U1236" s="12"/>
      <c r="V1236" s="43"/>
    </row>
    <row r="1237" spans="1:22" s="53" customFormat="1" x14ac:dyDescent="0.35">
      <c r="A1237" s="2"/>
      <c r="B1237" s="3"/>
      <c r="C1237" s="3"/>
      <c r="D1237" s="3"/>
      <c r="E1237" s="59"/>
      <c r="F1237" s="59"/>
      <c r="G1237" s="59"/>
      <c r="H1237" s="34"/>
      <c r="I1237" s="60"/>
      <c r="J1237" s="60"/>
      <c r="K1237" s="60"/>
      <c r="L1237" s="61"/>
      <c r="M1237" s="5"/>
      <c r="N1237" s="13"/>
      <c r="O1237" s="8"/>
      <c r="P1237" s="8"/>
      <c r="Q1237" s="8"/>
      <c r="R1237" s="8"/>
      <c r="S1237" s="21"/>
      <c r="T1237" s="5"/>
      <c r="U1237" s="12"/>
      <c r="V1237" s="43"/>
    </row>
    <row r="1238" spans="1:22" s="53" customFormat="1" x14ac:dyDescent="0.35">
      <c r="A1238" s="2"/>
      <c r="B1238" s="3"/>
      <c r="C1238" s="3"/>
      <c r="D1238" s="3"/>
      <c r="E1238" s="59"/>
      <c r="F1238" s="59"/>
      <c r="G1238" s="59"/>
      <c r="H1238" s="34"/>
      <c r="I1238" s="60"/>
      <c r="J1238" s="60"/>
      <c r="K1238" s="60"/>
      <c r="L1238" s="61"/>
      <c r="M1238" s="5"/>
      <c r="N1238" s="13"/>
      <c r="O1238" s="8"/>
      <c r="P1238" s="8"/>
      <c r="Q1238" s="8"/>
      <c r="R1238" s="8"/>
      <c r="S1238" s="21"/>
      <c r="T1238" s="5"/>
      <c r="U1238" s="12"/>
      <c r="V1238" s="12"/>
    </row>
    <row r="1239" spans="1:22" s="53" customFormat="1" x14ac:dyDescent="0.35">
      <c r="A1239" s="2"/>
      <c r="B1239" s="3"/>
      <c r="C1239" s="3"/>
      <c r="D1239" s="3"/>
      <c r="E1239" s="59"/>
      <c r="F1239" s="59"/>
      <c r="G1239" s="59"/>
      <c r="H1239" s="34"/>
      <c r="I1239" s="60"/>
      <c r="J1239" s="60"/>
      <c r="K1239" s="60"/>
      <c r="L1239" s="61"/>
      <c r="M1239" s="5"/>
      <c r="N1239" s="13"/>
      <c r="O1239" s="8"/>
      <c r="P1239" s="8"/>
      <c r="Q1239" s="8"/>
      <c r="R1239" s="8"/>
      <c r="S1239" s="21"/>
      <c r="T1239" s="5"/>
      <c r="U1239" s="12"/>
      <c r="V1239" s="12"/>
    </row>
    <row r="1240" spans="1:22" s="53" customFormat="1" x14ac:dyDescent="0.35">
      <c r="A1240" s="2"/>
      <c r="B1240" s="3"/>
      <c r="C1240" s="3"/>
      <c r="D1240" s="3"/>
      <c r="E1240" s="59"/>
      <c r="F1240" s="59"/>
      <c r="G1240" s="59"/>
      <c r="H1240" s="34"/>
      <c r="I1240" s="60"/>
      <c r="J1240" s="60"/>
      <c r="K1240" s="60"/>
      <c r="L1240" s="61"/>
      <c r="M1240" s="5"/>
      <c r="N1240" s="13"/>
      <c r="O1240" s="8"/>
      <c r="P1240" s="8"/>
      <c r="Q1240" s="8"/>
      <c r="R1240" s="8"/>
      <c r="S1240" s="21"/>
      <c r="T1240" s="5"/>
      <c r="U1240" s="12"/>
      <c r="V1240" s="43"/>
    </row>
    <row r="1241" spans="1:22" s="53" customFormat="1" x14ac:dyDescent="0.35">
      <c r="A1241" s="2"/>
      <c r="B1241" s="3"/>
      <c r="C1241" s="3"/>
      <c r="D1241" s="3"/>
      <c r="E1241" s="59"/>
      <c r="F1241" s="59"/>
      <c r="G1241" s="59"/>
      <c r="H1241" s="34"/>
      <c r="I1241" s="60"/>
      <c r="J1241" s="60"/>
      <c r="K1241" s="60"/>
      <c r="L1241" s="61"/>
      <c r="M1241" s="5"/>
      <c r="N1241" s="13"/>
      <c r="O1241" s="8"/>
      <c r="P1241" s="8"/>
      <c r="Q1241" s="8"/>
      <c r="R1241" s="8"/>
      <c r="S1241" s="21"/>
      <c r="T1241" s="5"/>
      <c r="U1241" s="12"/>
      <c r="V1241" s="43"/>
    </row>
    <row r="1242" spans="1:22" s="53" customFormat="1" x14ac:dyDescent="0.35">
      <c r="A1242" s="2"/>
      <c r="B1242" s="3"/>
      <c r="C1242" s="3"/>
      <c r="D1242" s="3"/>
      <c r="E1242" s="59"/>
      <c r="F1242" s="59"/>
      <c r="G1242" s="59"/>
      <c r="H1242" s="34"/>
      <c r="I1242" s="60"/>
      <c r="J1242" s="60"/>
      <c r="K1242" s="60"/>
      <c r="L1242" s="61"/>
      <c r="M1242" s="5"/>
      <c r="N1242" s="13"/>
      <c r="O1242" s="8"/>
      <c r="P1242" s="8"/>
      <c r="Q1242" s="8"/>
      <c r="R1242" s="8"/>
      <c r="S1242" s="21"/>
      <c r="T1242" s="5"/>
      <c r="U1242" s="12"/>
      <c r="V1242" s="43"/>
    </row>
    <row r="1243" spans="1:22" s="53" customFormat="1" x14ac:dyDescent="0.35">
      <c r="A1243" s="2"/>
      <c r="B1243" s="3"/>
      <c r="C1243" s="3"/>
      <c r="D1243" s="3"/>
      <c r="E1243" s="59"/>
      <c r="F1243" s="59"/>
      <c r="G1243" s="59"/>
      <c r="H1243" s="34"/>
      <c r="I1243" s="60"/>
      <c r="J1243" s="60"/>
      <c r="K1243" s="60"/>
      <c r="L1243" s="61"/>
      <c r="M1243" s="5"/>
      <c r="N1243" s="13"/>
      <c r="O1243" s="8"/>
      <c r="P1243" s="8"/>
      <c r="Q1243" s="8"/>
      <c r="R1243" s="8"/>
      <c r="S1243" s="21"/>
      <c r="T1243" s="5"/>
      <c r="U1243" s="12"/>
      <c r="V1243" s="43"/>
    </row>
    <row r="1244" spans="1:22" s="53" customFormat="1" x14ac:dyDescent="0.35">
      <c r="A1244" s="2"/>
      <c r="B1244" s="3"/>
      <c r="C1244" s="3"/>
      <c r="D1244" s="3"/>
      <c r="E1244" s="59"/>
      <c r="F1244" s="59"/>
      <c r="G1244" s="59"/>
      <c r="H1244" s="34"/>
      <c r="I1244" s="60"/>
      <c r="J1244" s="60"/>
      <c r="K1244" s="60"/>
      <c r="L1244" s="61"/>
      <c r="M1244" s="5"/>
      <c r="N1244" s="13"/>
      <c r="O1244" s="8"/>
      <c r="P1244" s="8"/>
      <c r="Q1244" s="8"/>
      <c r="R1244" s="8"/>
      <c r="S1244" s="21"/>
      <c r="T1244" s="5"/>
      <c r="U1244" s="12"/>
      <c r="V1244" s="12"/>
    </row>
    <row r="1245" spans="1:22" s="53" customFormat="1" x14ac:dyDescent="0.35">
      <c r="A1245" s="2"/>
      <c r="B1245" s="3"/>
      <c r="C1245" s="3"/>
      <c r="D1245" s="3"/>
      <c r="E1245" s="59"/>
      <c r="F1245" s="59"/>
      <c r="G1245" s="59"/>
      <c r="H1245" s="34"/>
      <c r="I1245" s="60"/>
      <c r="J1245" s="60"/>
      <c r="K1245" s="60"/>
      <c r="L1245" s="61"/>
      <c r="M1245" s="5"/>
      <c r="N1245" s="13"/>
      <c r="O1245" s="8"/>
      <c r="P1245" s="8"/>
      <c r="Q1245" s="8"/>
      <c r="R1245" s="8"/>
      <c r="S1245" s="21"/>
      <c r="T1245" s="5"/>
      <c r="U1245" s="12"/>
      <c r="V1245" s="12"/>
    </row>
    <row r="1246" spans="1:22" s="53" customFormat="1" x14ac:dyDescent="0.35">
      <c r="A1246" s="2"/>
      <c r="B1246" s="3"/>
      <c r="C1246" s="3"/>
      <c r="D1246" s="3"/>
      <c r="E1246" s="59"/>
      <c r="F1246" s="59"/>
      <c r="G1246" s="59"/>
      <c r="H1246" s="34"/>
      <c r="I1246" s="60"/>
      <c r="J1246" s="60"/>
      <c r="K1246" s="60"/>
      <c r="L1246" s="61"/>
      <c r="M1246" s="5"/>
      <c r="N1246" s="13"/>
      <c r="O1246" s="8"/>
      <c r="P1246" s="8"/>
      <c r="Q1246" s="8"/>
      <c r="R1246" s="8"/>
      <c r="S1246" s="21"/>
      <c r="T1246" s="5"/>
      <c r="U1246" s="12"/>
      <c r="V1246" s="12"/>
    </row>
    <row r="1247" spans="1:22" s="53" customFormat="1" x14ac:dyDescent="0.35">
      <c r="A1247" s="2"/>
      <c r="B1247" s="3"/>
      <c r="C1247" s="3"/>
      <c r="D1247" s="3"/>
      <c r="E1247" s="59"/>
      <c r="F1247" s="59"/>
      <c r="G1247" s="59"/>
      <c r="H1247" s="34"/>
      <c r="I1247" s="60"/>
      <c r="J1247" s="60"/>
      <c r="K1247" s="60"/>
      <c r="L1247" s="61"/>
      <c r="M1247" s="5"/>
      <c r="N1247" s="13"/>
      <c r="O1247" s="8"/>
      <c r="P1247" s="8"/>
      <c r="Q1247" s="8"/>
      <c r="R1247" s="8"/>
      <c r="S1247" s="21"/>
      <c r="T1247" s="5"/>
      <c r="U1247" s="12"/>
      <c r="V1247" s="12"/>
    </row>
    <row r="1248" spans="1:22" s="53" customFormat="1" x14ac:dyDescent="0.35">
      <c r="A1248" s="2"/>
      <c r="B1248" s="3"/>
      <c r="C1248" s="3"/>
      <c r="D1248" s="3"/>
      <c r="E1248" s="59"/>
      <c r="F1248" s="59"/>
      <c r="G1248" s="59"/>
      <c r="H1248" s="34"/>
      <c r="I1248" s="60"/>
      <c r="J1248" s="60"/>
      <c r="K1248" s="60"/>
      <c r="L1248" s="61"/>
      <c r="M1248" s="5"/>
      <c r="N1248" s="13"/>
      <c r="O1248" s="8"/>
      <c r="P1248" s="8"/>
      <c r="Q1248" s="8"/>
      <c r="R1248" s="8"/>
      <c r="S1248" s="21"/>
      <c r="T1248" s="5"/>
      <c r="U1248" s="12"/>
      <c r="V1248" s="12"/>
    </row>
    <row r="1249" spans="1:22" s="53" customFormat="1" x14ac:dyDescent="0.35">
      <c r="A1249" s="2"/>
      <c r="B1249" s="3"/>
      <c r="C1249" s="3"/>
      <c r="D1249" s="3"/>
      <c r="E1249" s="59"/>
      <c r="F1249" s="59"/>
      <c r="G1249" s="59"/>
      <c r="H1249" s="34"/>
      <c r="I1249" s="60"/>
      <c r="J1249" s="60"/>
      <c r="K1249" s="60"/>
      <c r="L1249" s="61"/>
      <c r="M1249" s="5"/>
      <c r="N1249" s="13"/>
      <c r="O1249" s="8"/>
      <c r="P1249" s="8"/>
      <c r="Q1249" s="8"/>
      <c r="R1249" s="8"/>
      <c r="S1249" s="21"/>
      <c r="T1249" s="5"/>
      <c r="U1249" s="12"/>
      <c r="V1249" s="12"/>
    </row>
    <row r="1250" spans="1:22" s="53" customFormat="1" x14ac:dyDescent="0.35">
      <c r="A1250" s="2"/>
      <c r="B1250" s="3"/>
      <c r="C1250" s="3"/>
      <c r="D1250" s="3"/>
      <c r="E1250"/>
      <c r="F1250"/>
      <c r="G1250"/>
      <c r="H1250" s="34"/>
      <c r="I1250"/>
      <c r="J1250"/>
      <c r="K1250"/>
      <c r="L1250"/>
      <c r="M1250"/>
      <c r="N1250"/>
      <c r="O1250"/>
      <c r="P1250"/>
      <c r="Q1250"/>
      <c r="R1250" s="8"/>
      <c r="S1250" s="1"/>
      <c r="T1250"/>
      <c r="U1250"/>
      <c r="V1250"/>
    </row>
    <row r="1251" spans="1:22" s="53" customFormat="1" x14ac:dyDescent="0.35">
      <c r="A1251" s="2"/>
      <c r="B1251" s="3"/>
      <c r="C1251" s="3"/>
      <c r="D1251" s="3"/>
      <c r="E1251"/>
      <c r="F1251"/>
      <c r="G1251"/>
      <c r="H1251" s="34"/>
      <c r="I1251"/>
      <c r="J1251"/>
      <c r="K1251"/>
      <c r="L1251"/>
      <c r="M1251"/>
      <c r="N1251"/>
      <c r="O1251"/>
      <c r="P1251"/>
      <c r="Q1251"/>
      <c r="R1251" s="8"/>
      <c r="S1251" s="1"/>
      <c r="T1251"/>
      <c r="U1251"/>
      <c r="V1251"/>
    </row>
    <row r="1252" spans="1:22" s="53" customFormat="1" x14ac:dyDescent="0.35">
      <c r="A1252" s="2"/>
      <c r="B1252" s="3"/>
      <c r="C1252" s="3"/>
      <c r="D1252" s="3"/>
      <c r="E1252"/>
      <c r="F1252"/>
      <c r="G1252"/>
      <c r="H1252" s="34"/>
      <c r="I1252"/>
      <c r="J1252"/>
      <c r="K1252"/>
      <c r="L1252"/>
      <c r="M1252"/>
      <c r="N1252"/>
      <c r="O1252"/>
      <c r="P1252"/>
      <c r="Q1252"/>
      <c r="R1252" s="8"/>
      <c r="S1252" s="1"/>
      <c r="T1252"/>
      <c r="U1252"/>
      <c r="V1252"/>
    </row>
    <row r="1253" spans="1:22" s="53" customFormat="1" x14ac:dyDescent="0.35">
      <c r="A1253" s="2"/>
      <c r="B1253" s="3"/>
      <c r="C1253" s="3"/>
      <c r="D1253" s="3"/>
      <c r="E1253"/>
      <c r="F1253"/>
      <c r="G1253"/>
      <c r="H1253" s="34"/>
      <c r="I1253"/>
      <c r="J1253"/>
      <c r="K1253"/>
      <c r="L1253"/>
      <c r="M1253"/>
      <c r="N1253"/>
      <c r="O1253"/>
      <c r="P1253"/>
      <c r="Q1253"/>
      <c r="R1253" s="8"/>
      <c r="S1253" s="1"/>
      <c r="T1253"/>
      <c r="U1253"/>
      <c r="V1253"/>
    </row>
    <row r="1254" spans="1:22" s="53" customFormat="1" x14ac:dyDescent="0.35">
      <c r="A1254" s="2"/>
      <c r="B1254" s="3"/>
      <c r="C1254" s="3"/>
      <c r="D1254" s="3"/>
      <c r="E1254"/>
      <c r="F1254"/>
      <c r="G1254"/>
      <c r="H1254" s="34"/>
      <c r="I1254"/>
      <c r="J1254"/>
      <c r="K1254"/>
      <c r="L1254"/>
      <c r="M1254"/>
      <c r="N1254"/>
      <c r="O1254"/>
      <c r="P1254"/>
      <c r="Q1254"/>
      <c r="R1254" s="8"/>
      <c r="S1254" s="1"/>
      <c r="T1254"/>
      <c r="U1254"/>
      <c r="V1254"/>
    </row>
    <row r="1255" spans="1:22" s="53" customFormat="1" x14ac:dyDescent="0.35">
      <c r="A1255" s="2"/>
      <c r="B1255" s="3"/>
      <c r="C1255" s="3"/>
      <c r="D1255" s="3"/>
      <c r="E1255"/>
      <c r="F1255"/>
      <c r="G1255"/>
      <c r="H1255" s="34"/>
      <c r="I1255"/>
      <c r="J1255"/>
      <c r="K1255"/>
      <c r="L1255"/>
      <c r="M1255"/>
      <c r="N1255"/>
      <c r="O1255"/>
      <c r="P1255"/>
      <c r="Q1255"/>
      <c r="R1255" s="8"/>
      <c r="S1255" s="1"/>
      <c r="T1255"/>
      <c r="U1255"/>
      <c r="V1255"/>
    </row>
    <row r="1256" spans="1:22" s="53" customFormat="1" x14ac:dyDescent="0.35">
      <c r="A1256" s="2"/>
      <c r="B1256" s="3"/>
      <c r="C1256" s="3"/>
      <c r="D1256" s="3"/>
      <c r="E1256"/>
      <c r="F1256"/>
      <c r="G1256"/>
      <c r="H1256" s="34"/>
      <c r="I1256"/>
      <c r="J1256"/>
      <c r="K1256"/>
      <c r="L1256"/>
      <c r="M1256"/>
      <c r="N1256"/>
      <c r="O1256"/>
      <c r="P1256"/>
      <c r="Q1256"/>
      <c r="R1256" s="8"/>
      <c r="S1256" s="1"/>
      <c r="T1256"/>
      <c r="U1256"/>
      <c r="V1256"/>
    </row>
    <row r="1257" spans="1:22" s="53" customFormat="1" x14ac:dyDescent="0.35">
      <c r="A1257" s="2"/>
      <c r="B1257" s="3"/>
      <c r="C1257" s="3"/>
      <c r="D1257" s="3"/>
      <c r="E1257"/>
      <c r="F1257"/>
      <c r="G1257"/>
      <c r="H1257" s="34"/>
      <c r="I1257"/>
      <c r="J1257"/>
      <c r="K1257"/>
      <c r="L1257"/>
      <c r="M1257"/>
      <c r="N1257"/>
      <c r="O1257"/>
      <c r="P1257"/>
      <c r="Q1257"/>
      <c r="R1257" s="8"/>
      <c r="S1257" s="1"/>
      <c r="T1257"/>
      <c r="U1257"/>
      <c r="V1257"/>
    </row>
    <row r="1258" spans="1:22" s="53" customFormat="1" x14ac:dyDescent="0.35">
      <c r="A1258" s="2"/>
      <c r="B1258" s="3"/>
      <c r="C1258" s="3"/>
      <c r="D1258" s="3"/>
      <c r="E1258"/>
      <c r="F1258"/>
      <c r="G1258"/>
      <c r="H1258" s="34"/>
      <c r="I1258"/>
      <c r="J1258"/>
      <c r="K1258"/>
      <c r="L1258"/>
      <c r="M1258"/>
      <c r="N1258"/>
      <c r="O1258"/>
      <c r="P1258"/>
      <c r="Q1258"/>
      <c r="R1258" s="8"/>
      <c r="S1258" s="1"/>
      <c r="T1258"/>
      <c r="U1258"/>
      <c r="V1258"/>
    </row>
    <row r="1259" spans="1:22" s="53" customFormat="1" x14ac:dyDescent="0.35">
      <c r="A1259" s="2"/>
      <c r="B1259" s="3"/>
      <c r="C1259" s="3"/>
      <c r="D1259" s="3"/>
      <c r="E1259"/>
      <c r="F1259"/>
      <c r="G1259"/>
      <c r="H1259" s="34"/>
      <c r="I1259"/>
      <c r="J1259"/>
      <c r="K1259"/>
      <c r="L1259"/>
      <c r="M1259"/>
      <c r="N1259"/>
      <c r="O1259"/>
      <c r="P1259"/>
      <c r="Q1259"/>
      <c r="R1259" s="8"/>
      <c r="S1259" s="1"/>
      <c r="T1259"/>
      <c r="U1259"/>
      <c r="V1259"/>
    </row>
    <row r="1260" spans="1:22" s="53" customFormat="1" x14ac:dyDescent="0.35">
      <c r="A1260" s="2"/>
      <c r="B1260" s="3"/>
      <c r="C1260" s="3"/>
      <c r="D1260" s="3"/>
      <c r="E1260"/>
      <c r="F1260"/>
      <c r="G1260"/>
      <c r="H1260" s="34"/>
      <c r="I1260"/>
      <c r="J1260"/>
      <c r="K1260"/>
      <c r="L1260"/>
      <c r="M1260"/>
      <c r="N1260"/>
      <c r="O1260"/>
      <c r="P1260"/>
      <c r="Q1260"/>
      <c r="R1260" s="8"/>
      <c r="S1260" s="1"/>
      <c r="T1260"/>
      <c r="U1260"/>
      <c r="V1260"/>
    </row>
    <row r="1261" spans="1:22" s="53" customFormat="1" x14ac:dyDescent="0.35">
      <c r="A1261" s="2"/>
      <c r="B1261" s="3"/>
      <c r="C1261" s="3"/>
      <c r="D1261" s="3"/>
      <c r="E1261"/>
      <c r="F1261"/>
      <c r="G1261"/>
      <c r="H1261" s="34"/>
      <c r="I1261"/>
      <c r="J1261"/>
      <c r="K1261"/>
      <c r="L1261"/>
      <c r="M1261"/>
      <c r="N1261"/>
      <c r="O1261"/>
      <c r="P1261"/>
      <c r="Q1261"/>
      <c r="R1261" s="8"/>
      <c r="S1261" s="1"/>
      <c r="T1261"/>
      <c r="U1261"/>
      <c r="V1261"/>
    </row>
    <row r="1262" spans="1:22" s="53" customFormat="1" x14ac:dyDescent="0.35">
      <c r="A1262" s="2"/>
      <c r="B1262" s="3"/>
      <c r="C1262" s="3"/>
      <c r="D1262" s="3"/>
      <c r="E1262"/>
      <c r="F1262"/>
      <c r="G1262"/>
      <c r="H1262" s="34"/>
      <c r="I1262"/>
      <c r="J1262"/>
      <c r="K1262"/>
      <c r="L1262"/>
      <c r="M1262"/>
      <c r="N1262"/>
      <c r="O1262"/>
      <c r="P1262"/>
      <c r="Q1262"/>
      <c r="R1262" s="8"/>
      <c r="S1262" s="1"/>
      <c r="T1262"/>
      <c r="U1262"/>
      <c r="V1262"/>
    </row>
    <row r="1263" spans="1:22" s="53" customFormat="1" x14ac:dyDescent="0.35">
      <c r="A1263" s="2"/>
      <c r="B1263" s="3"/>
      <c r="C1263" s="3"/>
      <c r="D1263" s="3"/>
      <c r="E1263"/>
      <c r="F1263"/>
      <c r="G1263"/>
      <c r="H1263" s="34"/>
      <c r="I1263"/>
      <c r="J1263"/>
      <c r="K1263"/>
      <c r="L1263"/>
      <c r="M1263"/>
      <c r="N1263"/>
      <c r="O1263"/>
      <c r="P1263"/>
      <c r="Q1263"/>
      <c r="R1263" s="8"/>
      <c r="S1263" s="1"/>
      <c r="T1263"/>
      <c r="U1263"/>
      <c r="V1263"/>
    </row>
    <row r="1264" spans="1:22" s="53" customFormat="1" x14ac:dyDescent="0.35">
      <c r="A1264" s="2"/>
      <c r="B1264" s="3"/>
      <c r="C1264" s="3"/>
      <c r="D1264" s="3"/>
      <c r="E1264"/>
      <c r="F1264"/>
      <c r="G1264"/>
      <c r="H1264" s="34"/>
      <c r="I1264"/>
      <c r="J1264"/>
      <c r="K1264"/>
      <c r="L1264"/>
      <c r="M1264"/>
      <c r="N1264"/>
      <c r="O1264"/>
      <c r="P1264"/>
      <c r="Q1264"/>
      <c r="R1264" s="8"/>
      <c r="S1264" s="1"/>
      <c r="T1264"/>
      <c r="U1264"/>
      <c r="V1264"/>
    </row>
    <row r="1265" spans="1:22" s="53" customFormat="1" x14ac:dyDescent="0.35">
      <c r="A1265" s="2"/>
      <c r="B1265" s="3"/>
      <c r="C1265" s="3"/>
      <c r="D1265" s="3"/>
      <c r="E1265"/>
      <c r="F1265"/>
      <c r="G1265"/>
      <c r="H1265" s="34"/>
      <c r="I1265"/>
      <c r="J1265"/>
      <c r="K1265"/>
      <c r="L1265"/>
      <c r="M1265"/>
      <c r="N1265"/>
      <c r="O1265"/>
      <c r="P1265"/>
      <c r="Q1265"/>
      <c r="R1265" s="8"/>
      <c r="S1265" s="1"/>
      <c r="T1265"/>
      <c r="U1265"/>
      <c r="V1265"/>
    </row>
    <row r="1266" spans="1:22" s="53" customFormat="1" x14ac:dyDescent="0.35">
      <c r="A1266" s="2"/>
      <c r="B1266" s="3"/>
      <c r="C1266" s="3"/>
      <c r="D1266" s="3"/>
      <c r="E1266"/>
      <c r="F1266"/>
      <c r="G1266"/>
      <c r="H1266" s="34"/>
      <c r="I1266"/>
      <c r="J1266"/>
      <c r="K1266"/>
      <c r="L1266"/>
      <c r="M1266"/>
      <c r="N1266"/>
      <c r="O1266"/>
      <c r="P1266"/>
      <c r="Q1266"/>
      <c r="R1266" s="8"/>
      <c r="S1266" s="1"/>
      <c r="T1266"/>
      <c r="U1266"/>
      <c r="V1266"/>
    </row>
    <row r="1267" spans="1:22" s="53" customFormat="1" x14ac:dyDescent="0.35">
      <c r="A1267" s="2"/>
      <c r="B1267" s="3"/>
      <c r="C1267" s="3"/>
      <c r="D1267" s="3"/>
      <c r="E1267"/>
      <c r="F1267"/>
      <c r="G1267"/>
      <c r="H1267" s="34"/>
      <c r="I1267"/>
      <c r="J1267"/>
      <c r="K1267"/>
      <c r="L1267"/>
      <c r="M1267"/>
      <c r="N1267"/>
      <c r="O1267"/>
      <c r="P1267"/>
      <c r="Q1267"/>
      <c r="R1267" s="8"/>
      <c r="S1267" s="1"/>
      <c r="T1267"/>
      <c r="U1267"/>
      <c r="V1267"/>
    </row>
    <row r="1268" spans="1:22" s="53" customFormat="1" x14ac:dyDescent="0.35">
      <c r="A1268" s="2"/>
      <c r="B1268" s="3"/>
      <c r="C1268" s="3"/>
      <c r="D1268" s="3"/>
      <c r="E1268"/>
      <c r="F1268"/>
      <c r="G1268"/>
      <c r="H1268" s="34"/>
      <c r="I1268"/>
      <c r="J1268"/>
      <c r="K1268"/>
      <c r="L1268"/>
      <c r="M1268"/>
      <c r="N1268"/>
      <c r="O1268"/>
      <c r="P1268"/>
      <c r="Q1268"/>
      <c r="R1268" s="8"/>
      <c r="S1268" s="1"/>
      <c r="T1268"/>
      <c r="U1268"/>
      <c r="V1268"/>
    </row>
    <row r="1269" spans="1:22" s="53" customFormat="1" x14ac:dyDescent="0.35">
      <c r="A1269" s="2"/>
      <c r="B1269" s="3"/>
      <c r="C1269" s="3"/>
      <c r="D1269" s="3"/>
      <c r="E1269"/>
      <c r="F1269"/>
      <c r="G1269"/>
      <c r="H1269" s="34"/>
      <c r="I1269"/>
      <c r="J1269"/>
      <c r="K1269"/>
      <c r="L1269"/>
      <c r="M1269"/>
      <c r="N1269"/>
      <c r="O1269"/>
      <c r="P1269"/>
      <c r="Q1269"/>
      <c r="R1269" s="8"/>
      <c r="S1269" s="1"/>
      <c r="T1269"/>
      <c r="U1269"/>
      <c r="V1269"/>
    </row>
    <row r="1270" spans="1:22" s="53" customFormat="1" x14ac:dyDescent="0.35">
      <c r="A1270" s="2"/>
      <c r="B1270" s="3"/>
      <c r="C1270" s="3"/>
      <c r="D1270" s="3"/>
      <c r="E1270"/>
      <c r="F1270"/>
      <c r="G1270"/>
      <c r="H1270" s="34"/>
      <c r="I1270"/>
      <c r="J1270"/>
      <c r="K1270"/>
      <c r="L1270"/>
      <c r="M1270"/>
      <c r="N1270"/>
      <c r="O1270"/>
      <c r="P1270"/>
      <c r="Q1270"/>
      <c r="R1270" s="8"/>
      <c r="S1270" s="1"/>
      <c r="T1270"/>
      <c r="U1270"/>
      <c r="V1270"/>
    </row>
    <row r="1271" spans="1:22" s="53" customFormat="1" x14ac:dyDescent="0.35">
      <c r="A1271" s="2"/>
      <c r="B1271" s="3"/>
      <c r="C1271" s="3"/>
      <c r="D1271" s="3"/>
      <c r="E1271"/>
      <c r="F1271"/>
      <c r="G1271"/>
      <c r="H1271" s="34"/>
      <c r="I1271"/>
      <c r="J1271"/>
      <c r="K1271"/>
      <c r="L1271"/>
      <c r="M1271"/>
      <c r="N1271"/>
      <c r="O1271"/>
      <c r="P1271"/>
      <c r="Q1271"/>
      <c r="R1271" s="8"/>
      <c r="S1271" s="1"/>
      <c r="T1271"/>
      <c r="U1271"/>
      <c r="V1271"/>
    </row>
    <row r="1272" spans="1:22" s="53" customFormat="1" x14ac:dyDescent="0.35">
      <c r="A1272" s="2"/>
      <c r="B1272" s="3"/>
      <c r="C1272" s="3"/>
      <c r="D1272" s="3"/>
      <c r="E1272"/>
      <c r="F1272"/>
      <c r="G1272"/>
      <c r="H1272" s="34"/>
      <c r="I1272"/>
      <c r="J1272"/>
      <c r="K1272"/>
      <c r="L1272"/>
      <c r="M1272"/>
      <c r="N1272"/>
      <c r="O1272"/>
      <c r="P1272"/>
      <c r="Q1272"/>
      <c r="R1272" s="8"/>
      <c r="S1272" s="1"/>
      <c r="T1272"/>
      <c r="U1272"/>
      <c r="V1272"/>
    </row>
    <row r="1273" spans="1:22" s="53" customFormat="1" x14ac:dyDescent="0.35">
      <c r="A1273" s="2"/>
      <c r="B1273" s="3"/>
      <c r="C1273" s="3"/>
      <c r="D1273" s="3"/>
      <c r="E1273"/>
      <c r="F1273"/>
      <c r="G1273"/>
      <c r="H1273" s="34"/>
      <c r="I1273"/>
      <c r="J1273"/>
      <c r="K1273"/>
      <c r="L1273"/>
      <c r="M1273"/>
      <c r="N1273"/>
      <c r="O1273"/>
      <c r="P1273"/>
      <c r="Q1273"/>
      <c r="R1273" s="8"/>
      <c r="S1273" s="1"/>
      <c r="T1273"/>
      <c r="U1273"/>
      <c r="V1273"/>
    </row>
    <row r="1274" spans="1:22" s="53" customFormat="1" x14ac:dyDescent="0.35">
      <c r="A1274" s="2"/>
      <c r="B1274" s="3"/>
      <c r="C1274" s="3"/>
      <c r="D1274" s="3"/>
      <c r="E1274"/>
      <c r="F1274"/>
      <c r="G1274"/>
      <c r="H1274" s="34"/>
      <c r="I1274"/>
      <c r="J1274"/>
      <c r="K1274"/>
      <c r="L1274"/>
      <c r="M1274"/>
      <c r="N1274"/>
      <c r="O1274"/>
      <c r="P1274"/>
      <c r="Q1274"/>
      <c r="R1274" s="8"/>
      <c r="S1274" s="1"/>
      <c r="T1274"/>
      <c r="U1274"/>
      <c r="V1274"/>
    </row>
    <row r="1275" spans="1:22" s="53" customFormat="1" x14ac:dyDescent="0.35">
      <c r="A1275" s="2"/>
      <c r="B1275" s="3"/>
      <c r="C1275" s="3"/>
      <c r="D1275" s="3"/>
      <c r="E1275"/>
      <c r="F1275"/>
      <c r="G1275"/>
      <c r="H1275" s="34"/>
      <c r="I1275"/>
      <c r="J1275"/>
      <c r="K1275"/>
      <c r="L1275"/>
      <c r="M1275"/>
      <c r="N1275"/>
      <c r="O1275"/>
      <c r="P1275"/>
      <c r="Q1275"/>
      <c r="R1275" s="8"/>
      <c r="S1275" s="1"/>
      <c r="T1275"/>
      <c r="U1275"/>
      <c r="V1275"/>
    </row>
    <row r="1276" spans="1:22" s="53" customFormat="1" x14ac:dyDescent="0.35">
      <c r="A1276" s="2"/>
      <c r="B1276" s="3"/>
      <c r="C1276" s="3"/>
      <c r="D1276" s="3"/>
      <c r="E1276"/>
      <c r="F1276"/>
      <c r="G1276"/>
      <c r="H1276" s="34"/>
      <c r="I1276"/>
      <c r="J1276"/>
      <c r="K1276"/>
      <c r="L1276"/>
      <c r="M1276"/>
      <c r="N1276"/>
      <c r="O1276"/>
      <c r="P1276"/>
      <c r="Q1276"/>
      <c r="R1276" s="8"/>
      <c r="S1276" s="1"/>
      <c r="T1276"/>
      <c r="U1276"/>
      <c r="V1276"/>
    </row>
    <row r="1277" spans="1:22" s="53" customFormat="1" x14ac:dyDescent="0.35">
      <c r="A1277" s="2"/>
      <c r="B1277" s="3"/>
      <c r="C1277" s="3"/>
      <c r="D1277" s="3"/>
      <c r="E1277"/>
      <c r="F1277"/>
      <c r="G1277"/>
      <c r="H1277" s="34"/>
      <c r="I1277"/>
      <c r="J1277"/>
      <c r="K1277"/>
      <c r="L1277"/>
      <c r="M1277"/>
      <c r="N1277"/>
      <c r="O1277"/>
      <c r="P1277"/>
      <c r="Q1277"/>
      <c r="R1277" s="8"/>
      <c r="S1277" s="1"/>
      <c r="T1277"/>
      <c r="U1277"/>
      <c r="V1277"/>
    </row>
    <row r="1278" spans="1:22" s="53" customFormat="1" x14ac:dyDescent="0.35">
      <c r="A1278" s="2"/>
      <c r="B1278" s="3"/>
      <c r="C1278" s="3"/>
      <c r="D1278" s="3"/>
      <c r="E1278"/>
      <c r="F1278"/>
      <c r="G1278"/>
      <c r="H1278" s="34"/>
      <c r="I1278"/>
      <c r="J1278"/>
      <c r="K1278"/>
      <c r="L1278"/>
      <c r="M1278"/>
      <c r="N1278"/>
      <c r="O1278"/>
      <c r="P1278"/>
      <c r="Q1278"/>
      <c r="R1278" s="8"/>
      <c r="S1278" s="1"/>
      <c r="T1278"/>
      <c r="U1278"/>
      <c r="V1278"/>
    </row>
    <row r="1279" spans="1:22" s="53" customFormat="1" x14ac:dyDescent="0.35">
      <c r="A1279" s="2"/>
      <c r="B1279" s="3"/>
      <c r="C1279" s="3"/>
      <c r="D1279" s="3"/>
      <c r="E1279"/>
      <c r="F1279"/>
      <c r="G1279"/>
      <c r="H1279" s="34"/>
      <c r="I1279"/>
      <c r="J1279"/>
      <c r="K1279"/>
      <c r="L1279"/>
      <c r="M1279"/>
      <c r="N1279"/>
      <c r="O1279"/>
      <c r="P1279"/>
      <c r="Q1279"/>
      <c r="R1279" s="8"/>
      <c r="S1279" s="1"/>
      <c r="T1279"/>
      <c r="U1279"/>
      <c r="V1279"/>
    </row>
    <row r="1280" spans="1:22" s="53" customFormat="1" x14ac:dyDescent="0.35">
      <c r="A1280" s="2"/>
      <c r="B1280" s="3"/>
      <c r="C1280" s="3"/>
      <c r="D1280" s="3"/>
      <c r="E1280"/>
      <c r="F1280"/>
      <c r="G1280"/>
      <c r="H1280" s="34"/>
      <c r="I1280"/>
      <c r="J1280"/>
      <c r="K1280"/>
      <c r="L1280"/>
      <c r="M1280"/>
      <c r="N1280"/>
      <c r="O1280"/>
      <c r="P1280"/>
      <c r="Q1280"/>
      <c r="R1280" s="8"/>
      <c r="S1280" s="1"/>
      <c r="T1280"/>
      <c r="U1280"/>
      <c r="V1280"/>
    </row>
    <row r="1281" spans="1:22" s="53" customFormat="1" x14ac:dyDescent="0.35">
      <c r="A1281" s="2"/>
      <c r="B1281" s="3"/>
      <c r="C1281" s="3"/>
      <c r="D1281" s="3"/>
      <c r="E1281"/>
      <c r="F1281"/>
      <c r="G1281"/>
      <c r="H1281" s="34"/>
      <c r="I1281"/>
      <c r="J1281"/>
      <c r="K1281"/>
      <c r="L1281"/>
      <c r="M1281"/>
      <c r="N1281"/>
      <c r="O1281"/>
      <c r="P1281"/>
      <c r="Q1281"/>
      <c r="R1281" s="8"/>
      <c r="S1281" s="1"/>
      <c r="T1281"/>
      <c r="U1281"/>
      <c r="V1281"/>
    </row>
    <row r="1282" spans="1:22" s="53" customFormat="1" x14ac:dyDescent="0.35">
      <c r="A1282" s="2"/>
      <c r="B1282" s="3"/>
      <c r="C1282" s="3"/>
      <c r="D1282" s="3"/>
      <c r="E1282"/>
      <c r="F1282"/>
      <c r="G1282"/>
      <c r="H1282" s="34"/>
      <c r="I1282"/>
      <c r="J1282"/>
      <c r="K1282"/>
      <c r="L1282"/>
      <c r="M1282"/>
      <c r="N1282"/>
      <c r="O1282"/>
      <c r="P1282"/>
      <c r="Q1282"/>
      <c r="R1282" s="8"/>
      <c r="S1282" s="1"/>
      <c r="T1282"/>
      <c r="U1282"/>
      <c r="V1282"/>
    </row>
    <row r="1283" spans="1:22" s="53" customFormat="1" x14ac:dyDescent="0.35">
      <c r="A1283" s="2"/>
      <c r="B1283" s="3"/>
      <c r="C1283" s="3"/>
      <c r="D1283" s="3"/>
      <c r="E1283"/>
      <c r="F1283"/>
      <c r="G1283"/>
      <c r="H1283" s="34"/>
      <c r="I1283"/>
      <c r="J1283"/>
      <c r="K1283"/>
      <c r="L1283"/>
      <c r="M1283"/>
      <c r="N1283"/>
      <c r="O1283"/>
      <c r="P1283"/>
      <c r="Q1283"/>
      <c r="R1283" s="8"/>
      <c r="S1283" s="1"/>
      <c r="T1283"/>
      <c r="U1283"/>
      <c r="V1283"/>
    </row>
    <row r="1284" spans="1:22" s="53" customFormat="1" x14ac:dyDescent="0.35">
      <c r="A1284" s="2"/>
      <c r="B1284" s="3"/>
      <c r="C1284" s="3"/>
      <c r="D1284" s="3"/>
      <c r="E1284"/>
      <c r="F1284"/>
      <c r="G1284"/>
      <c r="H1284" s="34"/>
      <c r="I1284"/>
      <c r="J1284"/>
      <c r="K1284"/>
      <c r="L1284"/>
      <c r="M1284"/>
      <c r="N1284"/>
      <c r="O1284"/>
      <c r="P1284"/>
      <c r="Q1284"/>
      <c r="R1284" s="8"/>
      <c r="S1284" s="1"/>
      <c r="T1284"/>
      <c r="U1284"/>
      <c r="V1284"/>
    </row>
    <row r="1285" spans="1:22" s="53" customFormat="1" x14ac:dyDescent="0.35">
      <c r="A1285" s="2"/>
      <c r="B1285" s="3"/>
      <c r="C1285" s="3"/>
      <c r="D1285" s="3"/>
      <c r="E1285"/>
      <c r="F1285"/>
      <c r="G1285"/>
      <c r="H1285" s="34"/>
      <c r="I1285"/>
      <c r="J1285"/>
      <c r="K1285"/>
      <c r="L1285"/>
      <c r="M1285"/>
      <c r="N1285"/>
      <c r="O1285"/>
      <c r="P1285"/>
      <c r="Q1285"/>
      <c r="R1285" s="8"/>
      <c r="S1285" s="1"/>
      <c r="T1285"/>
      <c r="U1285"/>
      <c r="V1285"/>
    </row>
    <row r="1286" spans="1:22" s="53" customFormat="1" x14ac:dyDescent="0.35">
      <c r="A1286" s="2"/>
      <c r="B1286" s="3"/>
      <c r="C1286" s="3"/>
      <c r="D1286" s="3"/>
      <c r="E1286"/>
      <c r="F1286"/>
      <c r="G1286"/>
      <c r="H1286" s="34"/>
      <c r="I1286"/>
      <c r="J1286"/>
      <c r="K1286"/>
      <c r="L1286"/>
      <c r="M1286"/>
      <c r="N1286"/>
      <c r="O1286"/>
      <c r="P1286"/>
      <c r="Q1286"/>
      <c r="R1286" s="8"/>
      <c r="S1286" s="1"/>
      <c r="T1286"/>
      <c r="U1286"/>
      <c r="V1286"/>
    </row>
    <row r="1287" spans="1:22" s="53" customFormat="1" x14ac:dyDescent="0.35">
      <c r="A1287" s="2"/>
      <c r="B1287" s="3"/>
      <c r="C1287" s="3"/>
      <c r="D1287" s="3"/>
      <c r="E1287"/>
      <c r="F1287"/>
      <c r="G1287"/>
      <c r="H1287" s="34"/>
      <c r="I1287"/>
      <c r="J1287"/>
      <c r="K1287"/>
      <c r="L1287"/>
      <c r="M1287"/>
      <c r="N1287"/>
      <c r="O1287"/>
      <c r="P1287"/>
      <c r="Q1287"/>
      <c r="R1287" s="8"/>
      <c r="S1287" s="1"/>
      <c r="T1287"/>
      <c r="U1287"/>
      <c r="V1287"/>
    </row>
    <row r="1288" spans="1:22" s="53" customFormat="1" x14ac:dyDescent="0.35">
      <c r="A1288" s="2"/>
      <c r="B1288" s="3"/>
      <c r="C1288" s="3"/>
      <c r="D1288" s="3"/>
      <c r="E1288"/>
      <c r="F1288"/>
      <c r="G1288"/>
      <c r="H1288" s="34"/>
      <c r="I1288"/>
      <c r="J1288"/>
      <c r="K1288"/>
      <c r="L1288"/>
      <c r="M1288"/>
      <c r="N1288"/>
      <c r="O1288"/>
      <c r="P1288"/>
      <c r="Q1288"/>
      <c r="R1288" s="8"/>
      <c r="S1288" s="1"/>
      <c r="T1288"/>
      <c r="U1288"/>
      <c r="V1288"/>
    </row>
    <row r="1289" spans="1:22" s="53" customFormat="1" x14ac:dyDescent="0.35">
      <c r="A1289" s="2"/>
      <c r="B1289" s="3"/>
      <c r="C1289" s="3"/>
      <c r="D1289" s="3"/>
      <c r="E1289"/>
      <c r="F1289"/>
      <c r="G1289"/>
      <c r="H1289" s="34"/>
      <c r="I1289"/>
      <c r="J1289"/>
      <c r="K1289"/>
      <c r="L1289"/>
      <c r="M1289"/>
      <c r="N1289"/>
      <c r="O1289"/>
      <c r="P1289"/>
      <c r="Q1289"/>
      <c r="R1289" s="8"/>
      <c r="S1289" s="1"/>
      <c r="T1289"/>
      <c r="U1289"/>
      <c r="V1289"/>
    </row>
    <row r="1290" spans="1:22" s="53" customFormat="1" x14ac:dyDescent="0.35">
      <c r="A1290" s="2"/>
      <c r="B1290" s="3"/>
      <c r="C1290" s="3"/>
      <c r="D1290" s="3"/>
      <c r="E1290"/>
      <c r="F1290"/>
      <c r="G1290"/>
      <c r="H1290" s="34"/>
      <c r="I1290"/>
      <c r="J1290"/>
      <c r="K1290"/>
      <c r="L1290"/>
      <c r="M1290"/>
      <c r="N1290"/>
      <c r="O1290"/>
      <c r="P1290"/>
      <c r="Q1290"/>
      <c r="R1290" s="8"/>
      <c r="S1290" s="1"/>
      <c r="T1290"/>
      <c r="U1290"/>
      <c r="V1290"/>
    </row>
    <row r="1291" spans="1:22" s="53" customFormat="1" x14ac:dyDescent="0.35">
      <c r="A1291" s="2"/>
      <c r="B1291" s="3"/>
      <c r="C1291" s="3"/>
      <c r="D1291" s="3"/>
      <c r="E1291"/>
      <c r="F1291"/>
      <c r="G1291"/>
      <c r="H1291" s="34"/>
      <c r="I1291"/>
      <c r="J1291"/>
      <c r="K1291"/>
      <c r="L1291"/>
      <c r="M1291"/>
      <c r="N1291"/>
      <c r="O1291"/>
      <c r="P1291"/>
      <c r="Q1291"/>
      <c r="R1291" s="8"/>
      <c r="S1291" s="1"/>
      <c r="T1291"/>
      <c r="U1291"/>
      <c r="V1291"/>
    </row>
    <row r="1292" spans="1:22" s="53" customFormat="1" x14ac:dyDescent="0.35">
      <c r="A1292" s="2"/>
      <c r="B1292" s="3"/>
      <c r="C1292" s="3"/>
      <c r="D1292" s="3"/>
      <c r="E1292"/>
      <c r="F1292"/>
      <c r="G1292"/>
      <c r="H1292" s="34"/>
      <c r="I1292"/>
      <c r="J1292"/>
      <c r="K1292"/>
      <c r="L1292"/>
      <c r="M1292"/>
      <c r="N1292"/>
      <c r="O1292"/>
      <c r="P1292"/>
      <c r="Q1292"/>
      <c r="R1292" s="8"/>
      <c r="S1292" s="1"/>
      <c r="T1292"/>
      <c r="U1292"/>
      <c r="V1292"/>
    </row>
    <row r="1293" spans="1:22" s="53" customFormat="1" x14ac:dyDescent="0.35">
      <c r="A1293" s="2"/>
      <c r="B1293" s="3"/>
      <c r="C1293" s="3"/>
      <c r="D1293" s="3"/>
      <c r="E1293"/>
      <c r="F1293"/>
      <c r="G1293"/>
      <c r="H1293" s="34"/>
      <c r="I1293"/>
      <c r="J1293"/>
      <c r="K1293"/>
      <c r="L1293"/>
      <c r="M1293"/>
      <c r="N1293"/>
      <c r="O1293"/>
      <c r="P1293"/>
      <c r="Q1293"/>
      <c r="R1293" s="8"/>
      <c r="S1293" s="1"/>
      <c r="T1293"/>
      <c r="U1293"/>
      <c r="V1293"/>
    </row>
    <row r="1294" spans="1:22" s="53" customFormat="1" x14ac:dyDescent="0.35">
      <c r="A1294" s="2"/>
      <c r="B1294" s="3"/>
      <c r="C1294" s="3"/>
      <c r="D1294" s="3"/>
      <c r="E1294"/>
      <c r="F1294"/>
      <c r="G1294"/>
      <c r="H1294" s="34"/>
      <c r="I1294"/>
      <c r="J1294"/>
      <c r="K1294"/>
      <c r="L1294"/>
      <c r="M1294"/>
      <c r="N1294"/>
      <c r="O1294"/>
      <c r="P1294"/>
      <c r="Q1294"/>
      <c r="R1294" s="8"/>
      <c r="S1294" s="1"/>
      <c r="T1294"/>
      <c r="U1294"/>
      <c r="V1294"/>
    </row>
    <row r="1295" spans="1:22" s="53" customFormat="1" x14ac:dyDescent="0.35">
      <c r="A1295" s="2"/>
      <c r="B1295" s="3"/>
      <c r="C1295" s="3"/>
      <c r="D1295" s="3"/>
      <c r="E1295"/>
      <c r="F1295"/>
      <c r="G1295"/>
      <c r="H1295" s="34"/>
      <c r="I1295"/>
      <c r="J1295"/>
      <c r="K1295"/>
      <c r="L1295"/>
      <c r="M1295"/>
      <c r="N1295"/>
      <c r="O1295"/>
      <c r="P1295"/>
      <c r="Q1295"/>
      <c r="R1295" s="8"/>
      <c r="S1295" s="1"/>
      <c r="T1295"/>
      <c r="U1295"/>
      <c r="V1295"/>
    </row>
    <row r="1296" spans="1:22" s="53" customFormat="1" x14ac:dyDescent="0.35">
      <c r="A1296" s="2"/>
      <c r="B1296" s="3"/>
      <c r="C1296" s="3"/>
      <c r="D1296" s="3"/>
      <c r="E1296"/>
      <c r="F1296"/>
      <c r="G1296"/>
      <c r="H1296" s="34"/>
      <c r="I1296"/>
      <c r="J1296"/>
      <c r="K1296"/>
      <c r="L1296"/>
      <c r="M1296"/>
      <c r="N1296"/>
      <c r="O1296"/>
      <c r="P1296"/>
      <c r="Q1296"/>
      <c r="R1296" s="8"/>
      <c r="S1296" s="1"/>
      <c r="T1296"/>
      <c r="U1296"/>
      <c r="V1296"/>
    </row>
    <row r="1297" spans="1:22" s="53" customFormat="1" x14ac:dyDescent="0.35">
      <c r="A1297" s="2"/>
      <c r="B1297" s="3"/>
      <c r="C1297" s="3"/>
      <c r="D1297" s="3"/>
      <c r="E1297"/>
      <c r="F1297"/>
      <c r="G1297"/>
      <c r="H1297" s="34"/>
      <c r="I1297"/>
      <c r="J1297"/>
      <c r="K1297"/>
      <c r="L1297"/>
      <c r="M1297"/>
      <c r="N1297"/>
      <c r="O1297"/>
      <c r="P1297"/>
      <c r="Q1297"/>
      <c r="R1297" s="8"/>
      <c r="S1297" s="1"/>
      <c r="T1297"/>
      <c r="U1297"/>
      <c r="V1297"/>
    </row>
    <row r="1298" spans="1:22" s="53" customFormat="1" x14ac:dyDescent="0.35">
      <c r="A1298" s="2"/>
      <c r="B1298" s="3"/>
      <c r="C1298" s="3"/>
      <c r="D1298" s="3"/>
      <c r="E1298"/>
      <c r="F1298"/>
      <c r="G1298"/>
      <c r="H1298" s="34"/>
      <c r="I1298"/>
      <c r="J1298"/>
      <c r="K1298"/>
      <c r="L1298"/>
      <c r="M1298"/>
      <c r="N1298"/>
      <c r="O1298"/>
      <c r="P1298"/>
      <c r="Q1298"/>
      <c r="R1298" s="8"/>
      <c r="S1298" s="1"/>
      <c r="T1298"/>
      <c r="U1298"/>
      <c r="V1298"/>
    </row>
    <row r="1299" spans="1:22" s="53" customFormat="1" x14ac:dyDescent="0.35">
      <c r="A1299" s="2"/>
      <c r="B1299" s="3"/>
      <c r="C1299" s="3"/>
      <c r="D1299" s="3"/>
      <c r="E1299"/>
      <c r="F1299"/>
      <c r="G1299"/>
      <c r="H1299" s="34"/>
      <c r="I1299"/>
      <c r="J1299"/>
      <c r="K1299"/>
      <c r="L1299"/>
      <c r="M1299"/>
      <c r="N1299"/>
      <c r="O1299"/>
      <c r="P1299"/>
      <c r="Q1299"/>
      <c r="R1299" s="8"/>
      <c r="S1299" s="1"/>
      <c r="T1299"/>
      <c r="U1299"/>
      <c r="V1299"/>
    </row>
    <row r="1300" spans="1:22" s="53" customFormat="1" x14ac:dyDescent="0.35">
      <c r="A1300" s="2"/>
      <c r="B1300" s="3"/>
      <c r="C1300" s="3"/>
      <c r="D1300" s="3"/>
      <c r="E1300"/>
      <c r="F1300"/>
      <c r="G1300"/>
      <c r="H1300" s="34"/>
      <c r="I1300"/>
      <c r="J1300"/>
      <c r="K1300"/>
      <c r="L1300"/>
      <c r="M1300"/>
      <c r="N1300"/>
      <c r="O1300"/>
      <c r="P1300"/>
      <c r="Q1300"/>
      <c r="R1300" s="8"/>
      <c r="S1300" s="1"/>
      <c r="T1300"/>
      <c r="U1300"/>
      <c r="V1300"/>
    </row>
    <row r="1301" spans="1:22" s="53" customFormat="1" x14ac:dyDescent="0.35">
      <c r="A1301" s="2"/>
      <c r="B1301" s="3"/>
      <c r="C1301" s="3"/>
      <c r="D1301" s="3"/>
      <c r="E1301"/>
      <c r="F1301"/>
      <c r="G1301"/>
      <c r="H1301" s="34"/>
      <c r="I1301"/>
      <c r="J1301"/>
      <c r="K1301"/>
      <c r="L1301"/>
      <c r="M1301"/>
      <c r="N1301"/>
      <c r="O1301"/>
      <c r="P1301"/>
      <c r="Q1301"/>
      <c r="R1301" s="8"/>
      <c r="S1301" s="1"/>
      <c r="T1301"/>
      <c r="U1301"/>
      <c r="V1301"/>
    </row>
    <row r="1302" spans="1:22" s="53" customFormat="1" x14ac:dyDescent="0.35">
      <c r="A1302" s="2"/>
      <c r="B1302" s="3"/>
      <c r="C1302" s="3"/>
      <c r="D1302" s="3"/>
      <c r="E1302"/>
      <c r="F1302"/>
      <c r="G1302"/>
      <c r="H1302" s="34"/>
      <c r="I1302"/>
      <c r="J1302"/>
      <c r="K1302"/>
      <c r="L1302"/>
      <c r="M1302"/>
      <c r="N1302"/>
      <c r="O1302"/>
      <c r="P1302"/>
      <c r="Q1302"/>
      <c r="R1302" s="8"/>
      <c r="S1302" s="1"/>
      <c r="T1302"/>
      <c r="U1302"/>
      <c r="V1302"/>
    </row>
    <row r="1303" spans="1:22" s="53" customFormat="1" x14ac:dyDescent="0.35">
      <c r="A1303" s="2"/>
      <c r="B1303" s="3"/>
      <c r="C1303" s="3"/>
      <c r="D1303" s="3"/>
      <c r="E1303"/>
      <c r="F1303"/>
      <c r="G1303"/>
      <c r="H1303" s="34"/>
      <c r="I1303"/>
      <c r="J1303"/>
      <c r="K1303"/>
      <c r="L1303"/>
      <c r="M1303"/>
      <c r="N1303"/>
      <c r="O1303"/>
      <c r="P1303"/>
      <c r="Q1303"/>
      <c r="R1303" s="8"/>
      <c r="S1303" s="1"/>
      <c r="T1303"/>
      <c r="U1303"/>
      <c r="V1303"/>
    </row>
    <row r="1304" spans="1:22" s="53" customFormat="1" x14ac:dyDescent="0.35">
      <c r="A1304" s="2"/>
      <c r="B1304" s="3"/>
      <c r="C1304" s="3"/>
      <c r="D1304" s="3"/>
      <c r="E1304"/>
      <c r="F1304"/>
      <c r="G1304"/>
      <c r="H1304" s="34"/>
      <c r="I1304"/>
      <c r="J1304"/>
      <c r="K1304"/>
      <c r="L1304"/>
      <c r="M1304"/>
      <c r="N1304"/>
      <c r="O1304"/>
      <c r="P1304"/>
      <c r="Q1304"/>
      <c r="R1304" s="8"/>
      <c r="S1304" s="1"/>
      <c r="T1304"/>
      <c r="U1304"/>
      <c r="V1304"/>
    </row>
    <row r="1305" spans="1:22" s="53" customFormat="1" x14ac:dyDescent="0.35">
      <c r="A1305" s="2"/>
      <c r="B1305" s="3"/>
      <c r="C1305" s="3"/>
      <c r="D1305" s="3"/>
      <c r="E1305"/>
      <c r="F1305"/>
      <c r="G1305"/>
      <c r="H1305" s="34"/>
      <c r="I1305"/>
      <c r="J1305"/>
      <c r="K1305"/>
      <c r="L1305"/>
      <c r="M1305"/>
      <c r="N1305"/>
      <c r="O1305"/>
      <c r="P1305"/>
      <c r="Q1305"/>
      <c r="R1305" s="8"/>
      <c r="S1305" s="1"/>
      <c r="T1305"/>
      <c r="U1305"/>
      <c r="V1305"/>
    </row>
    <row r="1306" spans="1:22" s="53" customFormat="1" x14ac:dyDescent="0.35">
      <c r="A1306" s="2"/>
      <c r="B1306" s="3"/>
      <c r="C1306" s="3"/>
      <c r="D1306" s="3"/>
      <c r="E1306"/>
      <c r="F1306"/>
      <c r="G1306"/>
      <c r="H1306" s="34"/>
      <c r="I1306"/>
      <c r="J1306"/>
      <c r="K1306"/>
      <c r="L1306"/>
      <c r="M1306"/>
      <c r="N1306"/>
      <c r="O1306"/>
      <c r="P1306"/>
      <c r="Q1306"/>
      <c r="R1306" s="8"/>
      <c r="S1306" s="1"/>
      <c r="T1306"/>
      <c r="U1306"/>
      <c r="V1306"/>
    </row>
    <row r="1307" spans="1:22" s="53" customFormat="1" x14ac:dyDescent="0.35">
      <c r="A1307" s="2"/>
      <c r="B1307" s="3"/>
      <c r="C1307" s="3"/>
      <c r="D1307" s="3"/>
      <c r="E1307"/>
      <c r="F1307"/>
      <c r="G1307"/>
      <c r="H1307" s="34"/>
      <c r="I1307"/>
      <c r="J1307"/>
      <c r="K1307"/>
      <c r="L1307"/>
      <c r="M1307"/>
      <c r="N1307"/>
      <c r="O1307"/>
      <c r="P1307"/>
      <c r="Q1307"/>
      <c r="R1307" s="8"/>
      <c r="S1307" s="1"/>
      <c r="T1307"/>
      <c r="U1307"/>
      <c r="V1307"/>
    </row>
    <row r="1308" spans="1:22" s="53" customFormat="1" x14ac:dyDescent="0.35">
      <c r="A1308" s="2"/>
      <c r="B1308" s="3"/>
      <c r="C1308" s="3"/>
      <c r="D1308" s="3"/>
      <c r="E1308"/>
      <c r="F1308"/>
      <c r="G1308"/>
      <c r="H1308" s="34"/>
      <c r="I1308"/>
      <c r="J1308"/>
      <c r="K1308"/>
      <c r="L1308"/>
      <c r="M1308"/>
      <c r="N1308"/>
      <c r="O1308"/>
      <c r="P1308"/>
      <c r="Q1308"/>
      <c r="R1308" s="8"/>
      <c r="S1308" s="1"/>
      <c r="T1308"/>
      <c r="U1308"/>
      <c r="V1308"/>
    </row>
    <row r="1309" spans="1:22" s="53" customFormat="1" x14ac:dyDescent="0.35">
      <c r="A1309" s="2"/>
      <c r="B1309" s="3"/>
      <c r="C1309" s="3"/>
      <c r="D1309" s="3"/>
      <c r="E1309"/>
      <c r="F1309"/>
      <c r="G1309"/>
      <c r="H1309" s="34"/>
      <c r="I1309"/>
      <c r="J1309"/>
      <c r="K1309"/>
      <c r="L1309"/>
      <c r="M1309"/>
      <c r="N1309"/>
      <c r="O1309"/>
      <c r="P1309"/>
      <c r="Q1309"/>
      <c r="R1309" s="8"/>
      <c r="S1309" s="1"/>
      <c r="T1309"/>
      <c r="U1309"/>
      <c r="V1309"/>
    </row>
    <row r="1310" spans="1:22" s="53" customFormat="1" x14ac:dyDescent="0.35">
      <c r="A1310" s="2"/>
      <c r="B1310" s="3"/>
      <c r="C1310" s="3"/>
      <c r="D1310" s="3"/>
      <c r="E1310"/>
      <c r="F1310"/>
      <c r="G1310"/>
      <c r="H1310" s="34"/>
      <c r="I1310"/>
      <c r="J1310"/>
      <c r="K1310"/>
      <c r="L1310"/>
      <c r="M1310"/>
      <c r="N1310"/>
      <c r="O1310"/>
      <c r="P1310"/>
      <c r="Q1310"/>
      <c r="R1310" s="8"/>
      <c r="S1310" s="1"/>
      <c r="T1310"/>
      <c r="U1310"/>
      <c r="V1310"/>
    </row>
    <row r="1311" spans="1:22" s="53" customFormat="1" x14ac:dyDescent="0.35">
      <c r="A1311" s="2"/>
      <c r="B1311" s="3"/>
      <c r="C1311" s="3"/>
      <c r="D1311" s="3"/>
      <c r="E1311"/>
      <c r="F1311"/>
      <c r="G1311"/>
      <c r="H1311" s="34"/>
      <c r="I1311"/>
      <c r="J1311"/>
      <c r="K1311"/>
      <c r="L1311"/>
      <c r="M1311"/>
      <c r="N1311"/>
      <c r="O1311"/>
      <c r="P1311"/>
      <c r="Q1311"/>
      <c r="R1311" s="8"/>
      <c r="S1311" s="1"/>
      <c r="T1311"/>
      <c r="U1311"/>
      <c r="V1311"/>
    </row>
    <row r="1312" spans="1:22" s="53" customFormat="1" x14ac:dyDescent="0.35">
      <c r="A1312" s="2"/>
      <c r="B1312" s="3"/>
      <c r="C1312" s="3"/>
      <c r="D1312" s="3"/>
      <c r="E1312"/>
      <c r="F1312"/>
      <c r="G1312"/>
      <c r="H1312" s="34"/>
      <c r="I1312"/>
      <c r="J1312"/>
      <c r="K1312"/>
      <c r="L1312"/>
      <c r="M1312"/>
      <c r="N1312"/>
      <c r="O1312"/>
      <c r="P1312"/>
      <c r="Q1312"/>
      <c r="R1312" s="8"/>
      <c r="S1312" s="1"/>
      <c r="T1312"/>
      <c r="U1312"/>
      <c r="V1312"/>
    </row>
    <row r="1313" spans="1:22" s="53" customFormat="1" x14ac:dyDescent="0.35">
      <c r="A1313" s="2"/>
      <c r="B1313" s="3"/>
      <c r="C1313" s="3"/>
      <c r="D1313" s="3"/>
      <c r="E1313"/>
      <c r="F1313"/>
      <c r="G1313"/>
      <c r="H1313" s="34"/>
      <c r="I1313"/>
      <c r="J1313"/>
      <c r="K1313"/>
      <c r="L1313"/>
      <c r="M1313"/>
      <c r="N1313"/>
      <c r="O1313"/>
      <c r="P1313"/>
      <c r="Q1313"/>
      <c r="R1313" s="8"/>
      <c r="S1313" s="1"/>
      <c r="T1313"/>
      <c r="U1313"/>
      <c r="V1313"/>
    </row>
    <row r="1314" spans="1:22" s="53" customFormat="1" x14ac:dyDescent="0.35">
      <c r="A1314" s="2"/>
      <c r="B1314" s="3"/>
      <c r="C1314" s="3"/>
      <c r="D1314" s="3"/>
      <c r="E1314"/>
      <c r="F1314"/>
      <c r="G1314"/>
      <c r="H1314" s="34"/>
      <c r="I1314"/>
      <c r="J1314"/>
      <c r="K1314"/>
      <c r="L1314"/>
      <c r="M1314"/>
      <c r="N1314"/>
      <c r="O1314"/>
      <c r="P1314"/>
      <c r="Q1314"/>
      <c r="R1314" s="8"/>
      <c r="S1314" s="1"/>
      <c r="T1314"/>
      <c r="U1314"/>
      <c r="V1314"/>
    </row>
    <row r="1315" spans="1:22" s="53" customFormat="1" x14ac:dyDescent="0.35">
      <c r="A1315" s="2"/>
      <c r="B1315" s="3"/>
      <c r="C1315" s="3"/>
      <c r="D1315" s="3"/>
      <c r="E1315"/>
      <c r="F1315"/>
      <c r="G1315"/>
      <c r="H1315" s="34"/>
      <c r="I1315"/>
      <c r="J1315"/>
      <c r="K1315"/>
      <c r="L1315"/>
      <c r="M1315"/>
      <c r="N1315"/>
      <c r="O1315"/>
      <c r="P1315"/>
      <c r="Q1315"/>
      <c r="R1315" s="8"/>
      <c r="S1315" s="1"/>
      <c r="T1315"/>
      <c r="U1315"/>
      <c r="V1315"/>
    </row>
    <row r="1316" spans="1:22" s="53" customFormat="1" x14ac:dyDescent="0.35">
      <c r="A1316" s="2"/>
      <c r="B1316" s="3"/>
      <c r="C1316" s="3"/>
      <c r="D1316" s="3"/>
      <c r="E1316"/>
      <c r="F1316"/>
      <c r="G1316"/>
      <c r="H1316" s="34"/>
      <c r="I1316"/>
      <c r="J1316"/>
      <c r="K1316"/>
      <c r="L1316"/>
      <c r="M1316"/>
      <c r="N1316"/>
      <c r="O1316"/>
      <c r="P1316"/>
      <c r="Q1316"/>
      <c r="R1316" s="8"/>
      <c r="S1316" s="1"/>
      <c r="T1316"/>
      <c r="U1316"/>
      <c r="V1316"/>
    </row>
    <row r="1317" spans="1:22" s="53" customFormat="1" x14ac:dyDescent="0.35">
      <c r="A1317" s="2"/>
      <c r="B1317" s="3"/>
      <c r="C1317" s="3"/>
      <c r="D1317" s="3"/>
      <c r="E1317"/>
      <c r="F1317"/>
      <c r="G1317"/>
      <c r="H1317" s="34"/>
      <c r="I1317"/>
      <c r="J1317"/>
      <c r="K1317"/>
      <c r="L1317"/>
      <c r="M1317"/>
      <c r="N1317"/>
      <c r="O1317"/>
      <c r="P1317"/>
      <c r="Q1317"/>
      <c r="R1317" s="8"/>
      <c r="S1317" s="1"/>
      <c r="T1317"/>
      <c r="U1317"/>
      <c r="V1317"/>
    </row>
    <row r="1318" spans="1:22" s="53" customFormat="1" x14ac:dyDescent="0.35">
      <c r="A1318" s="2"/>
      <c r="B1318" s="3"/>
      <c r="C1318" s="3"/>
      <c r="D1318" s="3"/>
      <c r="E1318"/>
      <c r="F1318"/>
      <c r="G1318"/>
      <c r="H1318" s="34"/>
      <c r="I1318"/>
      <c r="J1318"/>
      <c r="K1318"/>
      <c r="L1318"/>
      <c r="M1318"/>
      <c r="N1318"/>
      <c r="O1318"/>
      <c r="P1318"/>
      <c r="Q1318"/>
      <c r="R1318" s="8"/>
      <c r="S1318" s="1"/>
      <c r="T1318"/>
      <c r="U1318"/>
      <c r="V1318"/>
    </row>
    <row r="1319" spans="1:22" s="53" customFormat="1" x14ac:dyDescent="0.35">
      <c r="A1319" s="2"/>
      <c r="B1319" s="3"/>
      <c r="C1319" s="3"/>
      <c r="D1319" s="3"/>
      <c r="E1319"/>
      <c r="F1319"/>
      <c r="G1319"/>
      <c r="H1319" s="34"/>
      <c r="I1319"/>
      <c r="J1319"/>
      <c r="K1319"/>
      <c r="L1319"/>
      <c r="M1319"/>
      <c r="N1319"/>
      <c r="O1319"/>
      <c r="P1319"/>
      <c r="Q1319"/>
      <c r="R1319" s="8"/>
      <c r="S1319" s="1"/>
      <c r="T1319"/>
      <c r="U1319"/>
      <c r="V1319"/>
    </row>
    <row r="1320" spans="1:22" s="53" customFormat="1" x14ac:dyDescent="0.35">
      <c r="A1320" s="2"/>
      <c r="B1320" s="3"/>
      <c r="C1320" s="3"/>
      <c r="D1320" s="3"/>
      <c r="E1320"/>
      <c r="F1320"/>
      <c r="G1320"/>
      <c r="H1320" s="34"/>
      <c r="I1320"/>
      <c r="J1320"/>
      <c r="K1320"/>
      <c r="L1320"/>
      <c r="M1320"/>
      <c r="N1320"/>
      <c r="O1320"/>
      <c r="P1320"/>
      <c r="Q1320"/>
      <c r="R1320" s="8"/>
      <c r="S1320" s="1"/>
      <c r="T1320"/>
      <c r="U1320"/>
      <c r="V1320"/>
    </row>
    <row r="1321" spans="1:22" s="53" customFormat="1" x14ac:dyDescent="0.35">
      <c r="A1321" s="2"/>
      <c r="B1321" s="3"/>
      <c r="C1321" s="3"/>
      <c r="D1321" s="3"/>
      <c r="E1321"/>
      <c r="F1321"/>
      <c r="G1321"/>
      <c r="H1321" s="34"/>
      <c r="I1321"/>
      <c r="J1321"/>
      <c r="K1321"/>
      <c r="L1321"/>
      <c r="M1321"/>
      <c r="N1321"/>
      <c r="O1321"/>
      <c r="P1321"/>
      <c r="Q1321"/>
      <c r="R1321" s="8"/>
      <c r="S1321" s="1"/>
      <c r="T1321"/>
      <c r="U1321"/>
      <c r="V1321"/>
    </row>
    <row r="1322" spans="1:22" s="53" customFormat="1" x14ac:dyDescent="0.35">
      <c r="A1322" s="2"/>
      <c r="B1322" s="3"/>
      <c r="C1322" s="3"/>
      <c r="D1322" s="3"/>
      <c r="E1322"/>
      <c r="F1322"/>
      <c r="G1322"/>
      <c r="H1322" s="34"/>
      <c r="I1322"/>
      <c r="J1322"/>
      <c r="K1322"/>
      <c r="L1322"/>
      <c r="M1322"/>
      <c r="N1322"/>
      <c r="O1322"/>
      <c r="P1322"/>
      <c r="Q1322"/>
      <c r="R1322" s="8"/>
      <c r="S1322" s="1"/>
      <c r="T1322"/>
      <c r="U1322"/>
      <c r="V1322"/>
    </row>
    <row r="1323" spans="1:22" s="53" customFormat="1" x14ac:dyDescent="0.35">
      <c r="A1323" s="2"/>
      <c r="B1323" s="3"/>
      <c r="C1323" s="3"/>
      <c r="D1323" s="3"/>
      <c r="E1323"/>
      <c r="F1323"/>
      <c r="G1323"/>
      <c r="H1323" s="34"/>
      <c r="I1323"/>
      <c r="J1323"/>
      <c r="K1323"/>
      <c r="L1323"/>
      <c r="M1323"/>
      <c r="N1323"/>
      <c r="O1323"/>
      <c r="P1323"/>
      <c r="Q1323"/>
      <c r="R1323" s="8"/>
      <c r="S1323" s="1"/>
      <c r="T1323"/>
      <c r="U1323"/>
      <c r="V1323"/>
    </row>
    <row r="1324" spans="1:22" s="53" customFormat="1" x14ac:dyDescent="0.35">
      <c r="A1324" s="2"/>
      <c r="B1324" s="3"/>
      <c r="C1324" s="3"/>
      <c r="D1324" s="3"/>
      <c r="E1324"/>
      <c r="F1324"/>
      <c r="G1324"/>
      <c r="H1324" s="34"/>
      <c r="I1324"/>
      <c r="J1324"/>
      <c r="K1324"/>
      <c r="L1324"/>
      <c r="M1324"/>
      <c r="N1324"/>
      <c r="O1324"/>
      <c r="P1324"/>
      <c r="Q1324"/>
      <c r="R1324" s="8"/>
      <c r="S1324" s="1"/>
      <c r="T1324"/>
      <c r="U1324"/>
      <c r="V1324"/>
    </row>
    <row r="1325" spans="1:22" s="53" customFormat="1" x14ac:dyDescent="0.35">
      <c r="A1325" s="2"/>
      <c r="B1325" s="3"/>
      <c r="C1325" s="3"/>
      <c r="D1325" s="3"/>
      <c r="E1325"/>
      <c r="F1325"/>
      <c r="G1325"/>
      <c r="H1325" s="34"/>
      <c r="I1325"/>
      <c r="J1325"/>
      <c r="K1325"/>
      <c r="L1325"/>
      <c r="M1325"/>
      <c r="N1325"/>
      <c r="O1325"/>
      <c r="P1325"/>
      <c r="Q1325"/>
      <c r="R1325" s="8"/>
      <c r="S1325" s="1"/>
      <c r="T1325"/>
      <c r="U1325"/>
      <c r="V1325"/>
    </row>
    <row r="1326" spans="1:22" s="53" customFormat="1" x14ac:dyDescent="0.35">
      <c r="A1326" s="2"/>
      <c r="B1326" s="3"/>
      <c r="C1326" s="3"/>
      <c r="D1326" s="3"/>
      <c r="E1326"/>
      <c r="F1326"/>
      <c r="G1326"/>
      <c r="H1326" s="34"/>
      <c r="I1326"/>
      <c r="J1326"/>
      <c r="K1326"/>
      <c r="L1326"/>
      <c r="M1326"/>
      <c r="N1326"/>
      <c r="O1326"/>
      <c r="P1326"/>
      <c r="Q1326"/>
      <c r="R1326" s="8"/>
      <c r="S1326" s="1"/>
      <c r="T1326"/>
      <c r="U1326"/>
      <c r="V1326"/>
    </row>
    <row r="1327" spans="1:22" s="53" customFormat="1" x14ac:dyDescent="0.35">
      <c r="A1327" s="2"/>
      <c r="B1327" s="3"/>
      <c r="C1327" s="3"/>
      <c r="D1327" s="3"/>
      <c r="E1327"/>
      <c r="F1327"/>
      <c r="G1327"/>
      <c r="H1327" s="34"/>
      <c r="I1327"/>
      <c r="J1327"/>
      <c r="K1327"/>
      <c r="L1327"/>
      <c r="M1327"/>
      <c r="N1327"/>
      <c r="O1327"/>
      <c r="P1327"/>
      <c r="Q1327"/>
      <c r="R1327" s="8"/>
      <c r="S1327" s="1"/>
      <c r="T1327"/>
      <c r="U1327"/>
      <c r="V1327"/>
    </row>
    <row r="1328" spans="1:22" s="53" customFormat="1" x14ac:dyDescent="0.35">
      <c r="A1328" s="2"/>
      <c r="B1328" s="3"/>
      <c r="C1328" s="3"/>
      <c r="D1328" s="3"/>
      <c r="E1328"/>
      <c r="F1328"/>
      <c r="G1328"/>
      <c r="H1328" s="34"/>
      <c r="I1328"/>
      <c r="J1328"/>
      <c r="K1328"/>
      <c r="L1328"/>
      <c r="M1328"/>
      <c r="N1328"/>
      <c r="O1328"/>
      <c r="P1328"/>
      <c r="Q1328"/>
      <c r="R1328" s="8"/>
      <c r="S1328" s="1"/>
      <c r="T1328"/>
      <c r="U1328"/>
      <c r="V1328"/>
    </row>
    <row r="1329" spans="1:22" s="53" customFormat="1" x14ac:dyDescent="0.35">
      <c r="A1329" s="2"/>
      <c r="B1329" s="3"/>
      <c r="C1329" s="3"/>
      <c r="D1329" s="3"/>
      <c r="E1329"/>
      <c r="F1329"/>
      <c r="G1329"/>
      <c r="H1329" s="34"/>
      <c r="I1329"/>
      <c r="J1329"/>
      <c r="K1329"/>
      <c r="L1329"/>
      <c r="M1329"/>
      <c r="N1329"/>
      <c r="O1329"/>
      <c r="P1329"/>
      <c r="Q1329"/>
      <c r="R1329" s="8"/>
      <c r="S1329" s="1"/>
      <c r="T1329"/>
      <c r="U1329"/>
      <c r="V1329"/>
    </row>
    <row r="1330" spans="1:22" s="53" customFormat="1" x14ac:dyDescent="0.35">
      <c r="A1330" s="2"/>
      <c r="B1330" s="3"/>
      <c r="C1330" s="3"/>
      <c r="D1330" s="3"/>
      <c r="E1330"/>
      <c r="F1330"/>
      <c r="G1330"/>
      <c r="H1330" s="34"/>
      <c r="I1330"/>
      <c r="J1330"/>
      <c r="K1330"/>
      <c r="L1330"/>
      <c r="M1330"/>
      <c r="N1330"/>
      <c r="O1330"/>
      <c r="P1330"/>
      <c r="Q1330"/>
      <c r="R1330" s="8"/>
      <c r="S1330" s="1"/>
      <c r="T1330"/>
      <c r="U1330"/>
      <c r="V1330"/>
    </row>
    <row r="1331" spans="1:22" s="53" customFormat="1" x14ac:dyDescent="0.35">
      <c r="A1331" s="2"/>
      <c r="B1331" s="3"/>
      <c r="C1331" s="3"/>
      <c r="D1331" s="3"/>
      <c r="E1331"/>
      <c r="F1331"/>
      <c r="G1331"/>
      <c r="H1331" s="34"/>
      <c r="I1331"/>
      <c r="J1331"/>
      <c r="K1331"/>
      <c r="L1331"/>
      <c r="M1331"/>
      <c r="N1331"/>
      <c r="O1331"/>
      <c r="P1331"/>
      <c r="Q1331"/>
      <c r="R1331" s="8"/>
      <c r="S1331" s="1"/>
      <c r="T1331"/>
      <c r="U1331"/>
      <c r="V1331"/>
    </row>
    <row r="1332" spans="1:22" s="53" customFormat="1" x14ac:dyDescent="0.35">
      <c r="A1332" s="2"/>
      <c r="B1332" s="3"/>
      <c r="C1332" s="3"/>
      <c r="D1332" s="3"/>
      <c r="E1332"/>
      <c r="F1332"/>
      <c r="G1332"/>
      <c r="H1332" s="34"/>
      <c r="I1332"/>
      <c r="J1332"/>
      <c r="K1332"/>
      <c r="L1332"/>
      <c r="M1332"/>
      <c r="N1332"/>
      <c r="O1332"/>
      <c r="P1332"/>
      <c r="Q1332"/>
      <c r="R1332" s="8"/>
      <c r="S1332" s="1"/>
      <c r="T1332"/>
      <c r="U1332"/>
      <c r="V1332"/>
    </row>
    <row r="1333" spans="1:22" s="53" customFormat="1" x14ac:dyDescent="0.35">
      <c r="A1333" s="2"/>
      <c r="B1333" s="3"/>
      <c r="C1333" s="3"/>
      <c r="D1333" s="3"/>
      <c r="E1333"/>
      <c r="F1333"/>
      <c r="G1333"/>
      <c r="H1333" s="34"/>
      <c r="I1333"/>
      <c r="J1333"/>
      <c r="K1333"/>
      <c r="L1333"/>
      <c r="M1333"/>
      <c r="N1333"/>
      <c r="O1333"/>
      <c r="P1333"/>
      <c r="Q1333"/>
      <c r="R1333" s="8"/>
      <c r="S1333" s="1"/>
      <c r="T1333"/>
      <c r="U1333"/>
      <c r="V1333"/>
    </row>
    <row r="1334" spans="1:22" s="53" customFormat="1" x14ac:dyDescent="0.35">
      <c r="A1334" s="2"/>
      <c r="B1334" s="3"/>
      <c r="C1334" s="3"/>
      <c r="D1334" s="3"/>
      <c r="E1334"/>
      <c r="F1334"/>
      <c r="G1334"/>
      <c r="H1334" s="34"/>
      <c r="I1334"/>
      <c r="J1334"/>
      <c r="K1334"/>
      <c r="L1334"/>
      <c r="M1334"/>
      <c r="N1334"/>
      <c r="O1334"/>
      <c r="P1334"/>
      <c r="Q1334"/>
      <c r="R1334" s="8"/>
      <c r="S1334" s="1"/>
      <c r="T1334"/>
      <c r="U1334"/>
      <c r="V1334"/>
    </row>
    <row r="1335" spans="1:22" s="53" customFormat="1" x14ac:dyDescent="0.35">
      <c r="A1335" s="2"/>
      <c r="B1335" s="3"/>
      <c r="C1335" s="3"/>
      <c r="D1335" s="3"/>
      <c r="E1335"/>
      <c r="F1335"/>
      <c r="G1335"/>
      <c r="H1335" s="34"/>
      <c r="I1335"/>
      <c r="J1335"/>
      <c r="K1335"/>
      <c r="L1335"/>
      <c r="M1335"/>
      <c r="N1335"/>
      <c r="O1335"/>
      <c r="P1335"/>
      <c r="Q1335"/>
      <c r="R1335" s="8"/>
      <c r="S1335" s="1"/>
      <c r="T1335"/>
      <c r="U1335"/>
      <c r="V1335"/>
    </row>
    <row r="1336" spans="1:22" s="53" customFormat="1" x14ac:dyDescent="0.35">
      <c r="A1336" s="2"/>
      <c r="B1336" s="3"/>
      <c r="C1336" s="3"/>
      <c r="D1336" s="3"/>
      <c r="E1336"/>
      <c r="F1336"/>
      <c r="G1336"/>
      <c r="H1336" s="34"/>
      <c r="I1336"/>
      <c r="J1336"/>
      <c r="K1336"/>
      <c r="L1336"/>
      <c r="M1336"/>
      <c r="N1336"/>
      <c r="O1336"/>
      <c r="P1336"/>
      <c r="Q1336"/>
      <c r="R1336" s="8"/>
      <c r="S1336" s="1"/>
      <c r="T1336"/>
      <c r="U1336"/>
      <c r="V1336"/>
    </row>
    <row r="1337" spans="1:22" s="53" customFormat="1" x14ac:dyDescent="0.35">
      <c r="A1337" s="2"/>
      <c r="B1337" s="3"/>
      <c r="C1337" s="3"/>
      <c r="D1337" s="3"/>
      <c r="E1337"/>
      <c r="F1337"/>
      <c r="G1337"/>
      <c r="H1337" s="34"/>
      <c r="I1337"/>
      <c r="J1337"/>
      <c r="K1337"/>
      <c r="L1337"/>
      <c r="M1337"/>
      <c r="N1337"/>
      <c r="O1337"/>
      <c r="P1337"/>
      <c r="Q1337"/>
      <c r="R1337" s="8"/>
      <c r="S1337" s="1"/>
      <c r="T1337"/>
      <c r="U1337"/>
      <c r="V1337"/>
    </row>
    <row r="1338" spans="1:22" s="53" customFormat="1" x14ac:dyDescent="0.35">
      <c r="A1338" s="2"/>
      <c r="B1338" s="3"/>
      <c r="C1338" s="3"/>
      <c r="D1338" s="3"/>
      <c r="E1338"/>
      <c r="F1338"/>
      <c r="G1338"/>
      <c r="H1338" s="34"/>
      <c r="I1338"/>
      <c r="J1338"/>
      <c r="K1338"/>
      <c r="L1338"/>
      <c r="M1338"/>
      <c r="N1338"/>
      <c r="O1338"/>
      <c r="P1338"/>
      <c r="Q1338"/>
      <c r="R1338" s="8"/>
      <c r="S1338" s="1"/>
      <c r="T1338"/>
      <c r="U1338"/>
      <c r="V1338"/>
    </row>
    <row r="1339" spans="1:22" s="53" customFormat="1" x14ac:dyDescent="0.35">
      <c r="A1339" s="2"/>
      <c r="B1339" s="3"/>
      <c r="C1339" s="3"/>
      <c r="D1339" s="3"/>
      <c r="E1339"/>
      <c r="F1339"/>
      <c r="G1339"/>
      <c r="H1339" s="34"/>
      <c r="I1339"/>
      <c r="J1339"/>
      <c r="K1339"/>
      <c r="L1339"/>
      <c r="M1339"/>
      <c r="N1339"/>
      <c r="O1339"/>
      <c r="P1339"/>
      <c r="Q1339"/>
      <c r="R1339" s="8"/>
      <c r="S1339" s="1"/>
      <c r="T1339"/>
      <c r="U1339"/>
      <c r="V1339"/>
    </row>
    <row r="1340" spans="1:22" s="53" customFormat="1" x14ac:dyDescent="0.35">
      <c r="A1340" s="2"/>
      <c r="B1340" s="3"/>
      <c r="C1340" s="3"/>
      <c r="D1340" s="3"/>
      <c r="E1340"/>
      <c r="F1340"/>
      <c r="G1340"/>
      <c r="H1340" s="34"/>
      <c r="I1340"/>
      <c r="J1340"/>
      <c r="K1340"/>
      <c r="L1340"/>
      <c r="M1340"/>
      <c r="N1340"/>
      <c r="O1340"/>
      <c r="P1340"/>
      <c r="Q1340"/>
      <c r="R1340" s="8"/>
      <c r="S1340" s="1"/>
      <c r="T1340"/>
      <c r="U1340"/>
      <c r="V1340"/>
    </row>
    <row r="1341" spans="1:22" s="53" customFormat="1" x14ac:dyDescent="0.35">
      <c r="A1341" s="2"/>
      <c r="B1341" s="3"/>
      <c r="C1341" s="3"/>
      <c r="D1341" s="3"/>
      <c r="E1341"/>
      <c r="F1341"/>
      <c r="G1341"/>
      <c r="H1341" s="34"/>
      <c r="I1341"/>
      <c r="J1341"/>
      <c r="K1341"/>
      <c r="L1341"/>
      <c r="M1341"/>
      <c r="N1341"/>
      <c r="O1341"/>
      <c r="P1341"/>
      <c r="Q1341"/>
      <c r="R1341" s="8"/>
      <c r="S1341" s="1"/>
      <c r="T1341"/>
      <c r="U1341"/>
      <c r="V1341"/>
    </row>
    <row r="1342" spans="1:22" s="53" customFormat="1" x14ac:dyDescent="0.35">
      <c r="A1342" s="2"/>
      <c r="B1342" s="3"/>
      <c r="C1342" s="3"/>
      <c r="D1342" s="3"/>
      <c r="E1342"/>
      <c r="F1342"/>
      <c r="G1342"/>
      <c r="H1342" s="34"/>
      <c r="I1342"/>
      <c r="J1342"/>
      <c r="K1342"/>
      <c r="L1342"/>
      <c r="M1342"/>
      <c r="N1342"/>
      <c r="O1342"/>
      <c r="P1342"/>
      <c r="Q1342"/>
      <c r="R1342" s="8"/>
      <c r="S1342" s="1"/>
      <c r="T1342"/>
      <c r="U1342"/>
      <c r="V1342"/>
    </row>
    <row r="1343" spans="1:22" s="53" customFormat="1" x14ac:dyDescent="0.35">
      <c r="A1343" s="2"/>
      <c r="B1343" s="3"/>
      <c r="C1343" s="3"/>
      <c r="D1343" s="3"/>
      <c r="E1343"/>
      <c r="F1343"/>
      <c r="G1343"/>
      <c r="H1343" s="34"/>
      <c r="I1343"/>
      <c r="J1343"/>
      <c r="K1343"/>
      <c r="L1343"/>
      <c r="M1343"/>
      <c r="N1343"/>
      <c r="O1343"/>
      <c r="P1343"/>
      <c r="Q1343"/>
      <c r="R1343" s="8"/>
      <c r="S1343" s="1"/>
      <c r="T1343"/>
      <c r="U1343"/>
      <c r="V1343"/>
    </row>
    <row r="1344" spans="1:22" s="53" customFormat="1" x14ac:dyDescent="0.35">
      <c r="A1344" s="2"/>
      <c r="B1344" s="3"/>
      <c r="C1344" s="3"/>
      <c r="D1344" s="3"/>
      <c r="E1344"/>
      <c r="F1344"/>
      <c r="G1344"/>
      <c r="H1344" s="34"/>
      <c r="I1344"/>
      <c r="J1344"/>
      <c r="K1344"/>
      <c r="L1344"/>
      <c r="M1344"/>
      <c r="N1344"/>
      <c r="O1344"/>
      <c r="P1344"/>
      <c r="Q1344"/>
      <c r="R1344" s="8"/>
      <c r="S1344" s="1"/>
      <c r="T1344"/>
      <c r="U1344"/>
      <c r="V1344"/>
    </row>
    <row r="1345" spans="1:22" s="53" customFormat="1" x14ac:dyDescent="0.35">
      <c r="A1345" s="2"/>
      <c r="B1345" s="3"/>
      <c r="C1345" s="3"/>
      <c r="D1345" s="3"/>
      <c r="E1345"/>
      <c r="F1345"/>
      <c r="G1345"/>
      <c r="H1345" s="34"/>
      <c r="I1345"/>
      <c r="J1345"/>
      <c r="K1345"/>
      <c r="L1345"/>
      <c r="M1345"/>
      <c r="N1345"/>
      <c r="O1345"/>
      <c r="P1345"/>
      <c r="Q1345"/>
      <c r="R1345" s="8"/>
      <c r="S1345" s="1"/>
      <c r="T1345"/>
      <c r="U1345"/>
      <c r="V1345"/>
    </row>
    <row r="1346" spans="1:22" s="53" customFormat="1" x14ac:dyDescent="0.35">
      <c r="A1346" s="2"/>
      <c r="B1346" s="3"/>
      <c r="C1346" s="3"/>
      <c r="D1346" s="3"/>
      <c r="E1346"/>
      <c r="F1346"/>
      <c r="G1346"/>
      <c r="H1346" s="34"/>
      <c r="I1346"/>
      <c r="J1346"/>
      <c r="K1346"/>
      <c r="L1346"/>
      <c r="M1346"/>
      <c r="N1346"/>
      <c r="O1346"/>
      <c r="P1346"/>
      <c r="Q1346"/>
      <c r="R1346" s="8"/>
      <c r="S1346" s="1"/>
      <c r="T1346"/>
      <c r="U1346"/>
      <c r="V1346"/>
    </row>
    <row r="1347" spans="1:22" s="53" customFormat="1" x14ac:dyDescent="0.35">
      <c r="A1347" s="2"/>
      <c r="B1347" s="3"/>
      <c r="C1347" s="3"/>
      <c r="D1347" s="3"/>
      <c r="E1347"/>
      <c r="F1347"/>
      <c r="G1347"/>
      <c r="H1347" s="34"/>
      <c r="I1347"/>
      <c r="J1347"/>
      <c r="K1347"/>
      <c r="L1347"/>
      <c r="M1347"/>
      <c r="N1347"/>
      <c r="O1347"/>
      <c r="P1347"/>
      <c r="Q1347"/>
      <c r="R1347" s="8"/>
      <c r="S1347" s="1"/>
      <c r="T1347"/>
      <c r="U1347"/>
      <c r="V1347"/>
    </row>
    <row r="1348" spans="1:22" s="53" customFormat="1" x14ac:dyDescent="0.35">
      <c r="A1348" s="2"/>
      <c r="B1348" s="3"/>
      <c r="C1348" s="3"/>
      <c r="D1348" s="3"/>
      <c r="E1348"/>
      <c r="F1348"/>
      <c r="G1348"/>
      <c r="H1348" s="34"/>
      <c r="I1348"/>
      <c r="J1348"/>
      <c r="K1348"/>
      <c r="L1348"/>
      <c r="M1348"/>
      <c r="N1348"/>
      <c r="O1348"/>
      <c r="P1348"/>
      <c r="Q1348"/>
      <c r="R1348" s="8"/>
      <c r="S1348" s="1"/>
      <c r="T1348"/>
      <c r="U1348"/>
      <c r="V1348"/>
    </row>
    <row r="1349" spans="1:22" s="53" customFormat="1" x14ac:dyDescent="0.35">
      <c r="A1349" s="2"/>
      <c r="B1349" s="3"/>
      <c r="C1349" s="3"/>
      <c r="D1349" s="3"/>
      <c r="E1349"/>
      <c r="F1349"/>
      <c r="G1349"/>
      <c r="H1349" s="34"/>
      <c r="I1349"/>
      <c r="J1349"/>
      <c r="K1349"/>
      <c r="L1349"/>
      <c r="M1349"/>
      <c r="N1349"/>
      <c r="O1349"/>
      <c r="P1349"/>
      <c r="Q1349"/>
      <c r="R1349" s="8"/>
      <c r="S1349" s="1"/>
      <c r="T1349"/>
      <c r="U1349"/>
      <c r="V1349"/>
    </row>
    <row r="1350" spans="1:22" s="53" customFormat="1" x14ac:dyDescent="0.35">
      <c r="A1350" s="2"/>
      <c r="B1350" s="3"/>
      <c r="C1350" s="3"/>
      <c r="D1350" s="3"/>
      <c r="E1350"/>
      <c r="F1350"/>
      <c r="G1350"/>
      <c r="H1350" s="34"/>
      <c r="I1350"/>
      <c r="J1350"/>
      <c r="K1350"/>
      <c r="L1350"/>
      <c r="M1350"/>
      <c r="N1350"/>
      <c r="O1350"/>
      <c r="P1350"/>
      <c r="Q1350"/>
      <c r="R1350" s="8"/>
      <c r="S1350" s="1"/>
      <c r="T1350"/>
      <c r="U1350"/>
      <c r="V1350"/>
    </row>
    <row r="1351" spans="1:22" s="53" customFormat="1" x14ac:dyDescent="0.35">
      <c r="A1351" s="2"/>
      <c r="B1351" s="3"/>
      <c r="C1351" s="3"/>
      <c r="D1351" s="3"/>
      <c r="E1351"/>
      <c r="F1351"/>
      <c r="G1351"/>
      <c r="H1351" s="34"/>
      <c r="I1351"/>
      <c r="J1351"/>
      <c r="K1351"/>
      <c r="L1351"/>
      <c r="M1351"/>
      <c r="N1351"/>
      <c r="O1351"/>
      <c r="P1351"/>
      <c r="Q1351"/>
      <c r="R1351" s="8"/>
      <c r="S1351" s="1"/>
      <c r="T1351"/>
      <c r="U1351"/>
      <c r="V1351"/>
    </row>
    <row r="1352" spans="1:22" s="53" customFormat="1" x14ac:dyDescent="0.35">
      <c r="A1352" s="2"/>
      <c r="B1352" s="3"/>
      <c r="C1352" s="3"/>
      <c r="D1352" s="3"/>
      <c r="E1352"/>
      <c r="F1352"/>
      <c r="G1352"/>
      <c r="H1352" s="34"/>
      <c r="I1352"/>
      <c r="J1352"/>
      <c r="K1352"/>
      <c r="L1352"/>
      <c r="M1352"/>
      <c r="N1352"/>
      <c r="O1352"/>
      <c r="P1352"/>
      <c r="Q1352"/>
      <c r="R1352" s="8"/>
      <c r="S1352" s="1"/>
      <c r="T1352"/>
      <c r="U1352"/>
      <c r="V1352"/>
    </row>
    <row r="1353" spans="1:22" s="53" customFormat="1" x14ac:dyDescent="0.35">
      <c r="A1353" s="2"/>
      <c r="B1353" s="3"/>
      <c r="C1353" s="3"/>
      <c r="D1353" s="3"/>
      <c r="E1353"/>
      <c r="F1353"/>
      <c r="G1353"/>
      <c r="H1353" s="34"/>
      <c r="I1353"/>
      <c r="J1353"/>
      <c r="K1353"/>
      <c r="L1353"/>
      <c r="M1353"/>
      <c r="N1353"/>
      <c r="O1353"/>
      <c r="P1353"/>
      <c r="Q1353"/>
      <c r="R1353" s="8"/>
      <c r="S1353" s="1"/>
      <c r="T1353"/>
      <c r="U1353"/>
      <c r="V1353"/>
    </row>
    <row r="1354" spans="1:22" s="53" customFormat="1" x14ac:dyDescent="0.35">
      <c r="A1354" s="2"/>
      <c r="B1354" s="3"/>
      <c r="C1354" s="3"/>
      <c r="D1354" s="3"/>
      <c r="E1354"/>
      <c r="F1354"/>
      <c r="G1354"/>
      <c r="H1354" s="34"/>
      <c r="I1354"/>
      <c r="J1354"/>
      <c r="K1354"/>
      <c r="L1354"/>
      <c r="M1354"/>
      <c r="N1354"/>
      <c r="O1354"/>
      <c r="P1354"/>
      <c r="Q1354"/>
      <c r="R1354" s="8"/>
      <c r="S1354" s="1"/>
      <c r="T1354"/>
      <c r="U1354"/>
      <c r="V1354"/>
    </row>
    <row r="1355" spans="1:22" s="53" customFormat="1" x14ac:dyDescent="0.35">
      <c r="A1355" s="2"/>
      <c r="B1355" s="3"/>
      <c r="C1355" s="3"/>
      <c r="D1355" s="3"/>
      <c r="E1355"/>
      <c r="F1355"/>
      <c r="G1355"/>
      <c r="H1355" s="34"/>
      <c r="I1355"/>
      <c r="J1355"/>
      <c r="K1355"/>
      <c r="L1355"/>
      <c r="M1355"/>
      <c r="N1355"/>
      <c r="O1355"/>
      <c r="P1355"/>
      <c r="Q1355"/>
      <c r="R1355" s="8"/>
      <c r="S1355" s="1"/>
      <c r="T1355"/>
      <c r="U1355"/>
      <c r="V1355"/>
    </row>
    <row r="1356" spans="1:22" s="53" customFormat="1" x14ac:dyDescent="0.35">
      <c r="A1356" s="2"/>
      <c r="B1356" s="3"/>
      <c r="C1356" s="3"/>
      <c r="D1356" s="3"/>
      <c r="E1356"/>
      <c r="F1356"/>
      <c r="G1356"/>
      <c r="H1356" s="34"/>
      <c r="I1356"/>
      <c r="J1356"/>
      <c r="K1356"/>
      <c r="L1356"/>
      <c r="M1356"/>
      <c r="N1356"/>
      <c r="O1356"/>
      <c r="P1356"/>
      <c r="Q1356"/>
      <c r="R1356" s="8"/>
      <c r="S1356" s="1"/>
      <c r="T1356"/>
      <c r="U1356"/>
      <c r="V1356"/>
    </row>
    <row r="1357" spans="1:22" s="53" customFormat="1" x14ac:dyDescent="0.35">
      <c r="A1357" s="2"/>
      <c r="B1357" s="3"/>
      <c r="C1357" s="3"/>
      <c r="D1357" s="3"/>
      <c r="E1357"/>
      <c r="F1357"/>
      <c r="G1357"/>
      <c r="H1357" s="34"/>
      <c r="I1357"/>
      <c r="J1357"/>
      <c r="K1357"/>
      <c r="L1357"/>
      <c r="M1357"/>
      <c r="N1357"/>
      <c r="O1357"/>
      <c r="P1357"/>
      <c r="Q1357"/>
      <c r="R1357" s="8"/>
      <c r="S1357" s="1"/>
      <c r="T1357"/>
      <c r="U1357"/>
      <c r="V1357"/>
    </row>
    <row r="1358" spans="1:22" s="53" customFormat="1" x14ac:dyDescent="0.35">
      <c r="A1358" s="2"/>
      <c r="B1358" s="3"/>
      <c r="C1358" s="3"/>
      <c r="D1358" s="3"/>
      <c r="E1358"/>
      <c r="F1358"/>
      <c r="G1358"/>
      <c r="H1358" s="34"/>
      <c r="I1358"/>
      <c r="J1358"/>
      <c r="K1358"/>
      <c r="L1358"/>
      <c r="M1358"/>
      <c r="N1358"/>
      <c r="O1358"/>
      <c r="P1358"/>
      <c r="Q1358"/>
      <c r="R1358" s="8"/>
      <c r="S1358" s="1"/>
      <c r="T1358"/>
      <c r="U1358"/>
      <c r="V1358"/>
    </row>
    <row r="1359" spans="1:22" s="53" customFormat="1" x14ac:dyDescent="0.35">
      <c r="A1359" s="2"/>
      <c r="B1359" s="3"/>
      <c r="C1359" s="3"/>
      <c r="D1359" s="3"/>
      <c r="E1359"/>
      <c r="F1359"/>
      <c r="G1359"/>
      <c r="H1359" s="34"/>
      <c r="I1359"/>
      <c r="J1359"/>
      <c r="K1359"/>
      <c r="L1359"/>
      <c r="M1359"/>
      <c r="N1359"/>
      <c r="O1359"/>
      <c r="P1359"/>
      <c r="Q1359"/>
      <c r="R1359" s="8"/>
      <c r="S1359" s="1"/>
      <c r="T1359"/>
      <c r="U1359"/>
      <c r="V1359"/>
    </row>
    <row r="1360" spans="1:22" s="53" customFormat="1" x14ac:dyDescent="0.35">
      <c r="A1360" s="2"/>
      <c r="B1360" s="3"/>
      <c r="C1360" s="3"/>
      <c r="D1360" s="3"/>
      <c r="E1360"/>
      <c r="F1360"/>
      <c r="G1360"/>
      <c r="H1360" s="34"/>
      <c r="I1360"/>
      <c r="J1360"/>
      <c r="K1360"/>
      <c r="L1360"/>
      <c r="M1360"/>
      <c r="N1360"/>
      <c r="O1360"/>
      <c r="P1360"/>
      <c r="Q1360"/>
      <c r="R1360" s="8"/>
      <c r="S1360" s="1"/>
      <c r="T1360"/>
      <c r="U1360"/>
      <c r="V1360"/>
    </row>
    <row r="1361" spans="1:22" s="53" customFormat="1" x14ac:dyDescent="0.35">
      <c r="A1361" s="2"/>
      <c r="B1361" s="3"/>
      <c r="C1361" s="3"/>
      <c r="D1361" s="3"/>
      <c r="E1361"/>
      <c r="F1361"/>
      <c r="G1361"/>
      <c r="H1361" s="34"/>
      <c r="I1361"/>
      <c r="J1361"/>
      <c r="K1361"/>
      <c r="L1361"/>
      <c r="M1361"/>
      <c r="N1361"/>
      <c r="O1361"/>
      <c r="P1361"/>
      <c r="Q1361"/>
      <c r="R1361" s="8"/>
      <c r="S1361" s="1"/>
      <c r="T1361"/>
      <c r="U1361"/>
      <c r="V1361"/>
    </row>
    <row r="1362" spans="1:22" s="53" customFormat="1" x14ac:dyDescent="0.35">
      <c r="A1362" s="2"/>
      <c r="B1362" s="3"/>
      <c r="C1362" s="3"/>
      <c r="D1362" s="3"/>
      <c r="E1362"/>
      <c r="F1362"/>
      <c r="G1362"/>
      <c r="H1362" s="34"/>
      <c r="I1362"/>
      <c r="J1362"/>
      <c r="K1362"/>
      <c r="L1362"/>
      <c r="M1362"/>
      <c r="N1362"/>
      <c r="O1362"/>
      <c r="P1362"/>
      <c r="Q1362"/>
      <c r="R1362" s="8"/>
      <c r="S1362" s="1"/>
      <c r="T1362"/>
      <c r="U1362"/>
      <c r="V1362"/>
    </row>
    <row r="1363" spans="1:22" s="53" customFormat="1" x14ac:dyDescent="0.35">
      <c r="A1363" s="2"/>
      <c r="B1363" s="3"/>
      <c r="C1363" s="3"/>
      <c r="D1363" s="3"/>
      <c r="E1363"/>
      <c r="F1363"/>
      <c r="G1363"/>
      <c r="H1363" s="34"/>
      <c r="I1363"/>
      <c r="J1363"/>
      <c r="K1363"/>
      <c r="L1363"/>
      <c r="M1363"/>
      <c r="N1363"/>
      <c r="O1363"/>
      <c r="P1363"/>
      <c r="Q1363"/>
      <c r="R1363" s="8"/>
      <c r="S1363" s="1"/>
      <c r="T1363"/>
      <c r="U1363"/>
      <c r="V1363"/>
    </row>
    <row r="1364" spans="1:22" s="53" customFormat="1" x14ac:dyDescent="0.35">
      <c r="A1364" s="2"/>
      <c r="B1364" s="3"/>
      <c r="C1364" s="3"/>
      <c r="D1364" s="3"/>
      <c r="E1364"/>
      <c r="F1364"/>
      <c r="G1364"/>
      <c r="H1364" s="34"/>
      <c r="I1364"/>
      <c r="J1364"/>
      <c r="K1364"/>
      <c r="L1364"/>
      <c r="M1364"/>
      <c r="N1364"/>
      <c r="O1364"/>
      <c r="P1364"/>
      <c r="Q1364"/>
      <c r="R1364" s="8"/>
      <c r="S1364" s="1"/>
      <c r="T1364"/>
      <c r="U1364"/>
      <c r="V1364"/>
    </row>
    <row r="1365" spans="1:22" s="53" customFormat="1" x14ac:dyDescent="0.35">
      <c r="A1365" s="2"/>
      <c r="B1365" s="3"/>
      <c r="C1365" s="3"/>
      <c r="D1365" s="3"/>
      <c r="E1365"/>
      <c r="F1365"/>
      <c r="G1365"/>
      <c r="H1365" s="34"/>
      <c r="I1365"/>
      <c r="J1365"/>
      <c r="K1365"/>
      <c r="L1365"/>
      <c r="M1365"/>
      <c r="N1365"/>
      <c r="O1365"/>
      <c r="P1365"/>
      <c r="Q1365"/>
      <c r="R1365" s="8"/>
      <c r="S1365" s="1"/>
      <c r="T1365"/>
      <c r="U1365"/>
      <c r="V1365"/>
    </row>
    <row r="1366" spans="1:22" s="53" customFormat="1" x14ac:dyDescent="0.35">
      <c r="A1366" s="2"/>
      <c r="B1366" s="3"/>
      <c r="C1366" s="3"/>
      <c r="D1366" s="3"/>
      <c r="E1366"/>
      <c r="F1366"/>
      <c r="G1366"/>
      <c r="H1366" s="34"/>
      <c r="I1366"/>
      <c r="J1366"/>
      <c r="K1366"/>
      <c r="L1366"/>
      <c r="M1366"/>
      <c r="N1366"/>
      <c r="O1366"/>
      <c r="P1366"/>
      <c r="Q1366"/>
      <c r="R1366" s="8"/>
      <c r="S1366" s="1"/>
      <c r="T1366"/>
      <c r="U1366"/>
      <c r="V1366"/>
    </row>
    <row r="1367" spans="1:22" s="53" customFormat="1" x14ac:dyDescent="0.35">
      <c r="A1367" s="2"/>
      <c r="B1367" s="3"/>
      <c r="C1367" s="3"/>
      <c r="D1367" s="3"/>
      <c r="E1367"/>
      <c r="F1367"/>
      <c r="G1367"/>
      <c r="H1367" s="34"/>
      <c r="I1367"/>
      <c r="J1367"/>
      <c r="K1367"/>
      <c r="L1367"/>
      <c r="M1367"/>
      <c r="N1367"/>
      <c r="O1367"/>
      <c r="P1367"/>
      <c r="Q1367"/>
      <c r="R1367" s="8"/>
      <c r="S1367" s="1"/>
      <c r="T1367"/>
      <c r="U1367"/>
      <c r="V1367"/>
    </row>
    <row r="1368" spans="1:22" s="53" customFormat="1" x14ac:dyDescent="0.35">
      <c r="A1368" s="2"/>
      <c r="B1368" s="3"/>
      <c r="C1368" s="3"/>
      <c r="D1368" s="3"/>
      <c r="E1368"/>
      <c r="F1368"/>
      <c r="G1368"/>
      <c r="H1368" s="34"/>
      <c r="I1368"/>
      <c r="J1368"/>
      <c r="K1368"/>
      <c r="L1368"/>
      <c r="M1368"/>
      <c r="N1368"/>
      <c r="O1368"/>
      <c r="P1368"/>
      <c r="Q1368"/>
      <c r="R1368" s="8"/>
      <c r="S1368" s="1"/>
      <c r="T1368"/>
      <c r="U1368"/>
      <c r="V1368"/>
    </row>
    <row r="1369" spans="1:22" s="53" customFormat="1" x14ac:dyDescent="0.35">
      <c r="A1369" s="2"/>
      <c r="B1369" s="3"/>
      <c r="C1369" s="3"/>
      <c r="D1369" s="3"/>
      <c r="E1369"/>
      <c r="F1369"/>
      <c r="G1369"/>
      <c r="H1369" s="34"/>
      <c r="I1369"/>
      <c r="J1369"/>
      <c r="K1369"/>
      <c r="L1369"/>
      <c r="M1369"/>
      <c r="N1369"/>
      <c r="O1369"/>
      <c r="P1369"/>
      <c r="Q1369"/>
      <c r="R1369" s="8"/>
      <c r="S1369" s="1"/>
      <c r="T1369"/>
      <c r="U1369"/>
      <c r="V1369"/>
    </row>
    <row r="1370" spans="1:22" s="53" customFormat="1" x14ac:dyDescent="0.35">
      <c r="A1370" s="2"/>
      <c r="B1370" s="3"/>
      <c r="C1370" s="3"/>
      <c r="D1370" s="3"/>
      <c r="E1370"/>
      <c r="F1370"/>
      <c r="G1370"/>
      <c r="H1370" s="34"/>
      <c r="I1370"/>
      <c r="J1370"/>
      <c r="K1370"/>
      <c r="L1370"/>
      <c r="M1370"/>
      <c r="N1370"/>
      <c r="O1370"/>
      <c r="P1370"/>
      <c r="Q1370"/>
      <c r="R1370" s="8"/>
      <c r="S1370" s="1"/>
      <c r="T1370"/>
      <c r="U1370"/>
      <c r="V1370"/>
    </row>
    <row r="1371" spans="1:22" s="53" customFormat="1" x14ac:dyDescent="0.35">
      <c r="A1371" s="2"/>
      <c r="B1371" s="3"/>
      <c r="C1371" s="3"/>
      <c r="D1371" s="3"/>
      <c r="E1371"/>
      <c r="F1371"/>
      <c r="G1371"/>
      <c r="H1371" s="34"/>
      <c r="I1371"/>
      <c r="J1371"/>
      <c r="K1371"/>
      <c r="L1371"/>
      <c r="M1371"/>
      <c r="N1371"/>
      <c r="O1371"/>
      <c r="P1371"/>
      <c r="Q1371"/>
      <c r="R1371" s="8"/>
      <c r="S1371" s="1"/>
      <c r="T1371"/>
      <c r="U1371"/>
      <c r="V1371"/>
    </row>
    <row r="1372" spans="1:22" s="53" customFormat="1" x14ac:dyDescent="0.35">
      <c r="A1372" s="2"/>
      <c r="B1372" s="3"/>
      <c r="C1372" s="3"/>
      <c r="D1372" s="3"/>
      <c r="E1372"/>
      <c r="F1372"/>
      <c r="G1372"/>
      <c r="H1372" s="34"/>
      <c r="I1372"/>
      <c r="J1372"/>
      <c r="K1372"/>
      <c r="L1372"/>
      <c r="M1372"/>
      <c r="N1372"/>
      <c r="O1372"/>
      <c r="P1372"/>
      <c r="Q1372"/>
      <c r="R1372" s="8"/>
      <c r="S1372" s="1"/>
      <c r="T1372"/>
      <c r="U1372"/>
      <c r="V1372"/>
    </row>
    <row r="1373" spans="1:22" s="53" customFormat="1" x14ac:dyDescent="0.35">
      <c r="A1373" s="2"/>
      <c r="B1373" s="3"/>
      <c r="C1373" s="3"/>
      <c r="D1373" s="3"/>
      <c r="E1373"/>
      <c r="F1373"/>
      <c r="G1373"/>
      <c r="H1373" s="34"/>
      <c r="I1373"/>
      <c r="J1373"/>
      <c r="K1373"/>
      <c r="L1373"/>
      <c r="M1373"/>
      <c r="N1373"/>
      <c r="O1373"/>
      <c r="P1373"/>
      <c r="Q1373"/>
      <c r="R1373" s="8"/>
      <c r="S1373" s="1"/>
      <c r="T1373"/>
      <c r="U1373"/>
      <c r="V1373"/>
    </row>
    <row r="1374" spans="1:22" s="53" customFormat="1" x14ac:dyDescent="0.35">
      <c r="A1374" s="2"/>
      <c r="B1374" s="3"/>
      <c r="C1374" s="3"/>
      <c r="D1374" s="3"/>
      <c r="E1374"/>
      <c r="F1374"/>
      <c r="G1374"/>
      <c r="H1374" s="34"/>
      <c r="I1374"/>
      <c r="J1374"/>
      <c r="K1374"/>
      <c r="L1374"/>
      <c r="M1374"/>
      <c r="N1374"/>
      <c r="O1374"/>
      <c r="P1374"/>
      <c r="Q1374"/>
      <c r="R1374" s="8"/>
      <c r="S1374" s="1"/>
      <c r="T1374"/>
      <c r="U1374"/>
      <c r="V1374"/>
    </row>
    <row r="1375" spans="1:22" s="53" customFormat="1" x14ac:dyDescent="0.35">
      <c r="A1375" s="2"/>
      <c r="B1375" s="3"/>
      <c r="C1375" s="3"/>
      <c r="D1375" s="3"/>
      <c r="E1375"/>
      <c r="F1375"/>
      <c r="G1375"/>
      <c r="H1375" s="34"/>
      <c r="I1375"/>
      <c r="J1375"/>
      <c r="K1375"/>
      <c r="L1375"/>
      <c r="M1375"/>
      <c r="N1375"/>
      <c r="O1375"/>
      <c r="P1375"/>
      <c r="Q1375"/>
      <c r="R1375" s="8"/>
      <c r="S1375" s="1"/>
      <c r="T1375"/>
      <c r="U1375"/>
      <c r="V1375"/>
    </row>
    <row r="1376" spans="1:22" s="53" customFormat="1" x14ac:dyDescent="0.35">
      <c r="A1376" s="2"/>
      <c r="B1376" s="3"/>
      <c r="C1376" s="3"/>
      <c r="D1376" s="3"/>
      <c r="E1376"/>
      <c r="F1376"/>
      <c r="G1376"/>
      <c r="H1376" s="34"/>
      <c r="I1376"/>
      <c r="J1376"/>
      <c r="K1376"/>
      <c r="L1376"/>
      <c r="M1376"/>
      <c r="N1376"/>
      <c r="O1376"/>
      <c r="P1376"/>
      <c r="Q1376"/>
      <c r="R1376" s="8"/>
      <c r="S1376" s="1"/>
      <c r="T1376"/>
      <c r="U1376"/>
      <c r="V1376"/>
    </row>
    <row r="1377" spans="1:22" s="53" customFormat="1" x14ac:dyDescent="0.35">
      <c r="A1377" s="2"/>
      <c r="B1377" s="3"/>
      <c r="C1377" s="3"/>
      <c r="D1377" s="3"/>
      <c r="E1377"/>
      <c r="F1377"/>
      <c r="G1377"/>
      <c r="H1377" s="34"/>
      <c r="I1377"/>
      <c r="J1377"/>
      <c r="K1377"/>
      <c r="L1377"/>
      <c r="M1377"/>
      <c r="N1377"/>
      <c r="O1377"/>
      <c r="P1377"/>
      <c r="Q1377"/>
      <c r="R1377" s="8"/>
      <c r="S1377" s="1"/>
      <c r="T1377"/>
      <c r="U1377"/>
      <c r="V1377"/>
    </row>
    <row r="1378" spans="1:22" s="53" customFormat="1" x14ac:dyDescent="0.35">
      <c r="A1378" s="2"/>
      <c r="B1378" s="3"/>
      <c r="C1378" s="3"/>
      <c r="D1378" s="3"/>
      <c r="E1378"/>
      <c r="F1378"/>
      <c r="G1378"/>
      <c r="H1378" s="34"/>
      <c r="I1378"/>
      <c r="J1378"/>
      <c r="K1378"/>
      <c r="L1378"/>
      <c r="M1378"/>
      <c r="N1378"/>
      <c r="O1378"/>
      <c r="P1378"/>
      <c r="Q1378"/>
      <c r="R1378" s="8"/>
      <c r="S1378" s="1"/>
      <c r="T1378"/>
      <c r="U1378"/>
      <c r="V1378"/>
    </row>
    <row r="1379" spans="1:22" s="53" customFormat="1" x14ac:dyDescent="0.35">
      <c r="A1379" s="2"/>
      <c r="B1379" s="3"/>
      <c r="C1379" s="3"/>
      <c r="D1379" s="3"/>
      <c r="E1379"/>
      <c r="F1379"/>
      <c r="G1379"/>
      <c r="H1379" s="34"/>
      <c r="I1379"/>
      <c r="J1379"/>
      <c r="K1379"/>
      <c r="L1379"/>
      <c r="M1379"/>
      <c r="N1379"/>
      <c r="O1379"/>
      <c r="P1379"/>
      <c r="Q1379"/>
      <c r="R1379" s="8"/>
      <c r="S1379" s="1"/>
      <c r="T1379"/>
      <c r="U1379"/>
      <c r="V1379"/>
    </row>
    <row r="1380" spans="1:22" s="53" customFormat="1" x14ac:dyDescent="0.35">
      <c r="A1380" s="2"/>
      <c r="B1380" s="3"/>
      <c r="C1380" s="3"/>
      <c r="D1380" s="3"/>
      <c r="E1380"/>
      <c r="F1380"/>
      <c r="G1380"/>
      <c r="H1380" s="34"/>
      <c r="I1380"/>
      <c r="J1380"/>
      <c r="K1380"/>
      <c r="L1380"/>
      <c r="M1380"/>
      <c r="N1380"/>
      <c r="O1380"/>
      <c r="P1380"/>
      <c r="Q1380"/>
      <c r="R1380" s="8"/>
      <c r="S1380" s="1"/>
      <c r="T1380"/>
      <c r="U1380"/>
      <c r="V1380"/>
    </row>
    <row r="1381" spans="1:22" s="53" customFormat="1" x14ac:dyDescent="0.35">
      <c r="A1381" s="2"/>
      <c r="B1381" s="3"/>
      <c r="C1381" s="3"/>
      <c r="D1381" s="3"/>
      <c r="E1381"/>
      <c r="F1381"/>
      <c r="G1381"/>
      <c r="H1381" s="34"/>
      <c r="I1381"/>
      <c r="J1381"/>
      <c r="K1381"/>
      <c r="L1381"/>
      <c r="M1381"/>
      <c r="N1381"/>
      <c r="O1381"/>
      <c r="P1381"/>
      <c r="Q1381"/>
      <c r="R1381" s="8"/>
      <c r="S1381" s="1"/>
      <c r="T1381"/>
      <c r="U1381"/>
      <c r="V1381"/>
    </row>
    <row r="1382" spans="1:22" s="53" customFormat="1" x14ac:dyDescent="0.35">
      <c r="A1382" s="2"/>
      <c r="B1382" s="3"/>
      <c r="C1382" s="3"/>
      <c r="D1382" s="3"/>
      <c r="E1382"/>
      <c r="F1382"/>
      <c r="G1382"/>
      <c r="H1382" s="34"/>
      <c r="I1382"/>
      <c r="J1382"/>
      <c r="K1382"/>
      <c r="L1382"/>
      <c r="M1382"/>
      <c r="N1382"/>
      <c r="O1382"/>
      <c r="P1382"/>
      <c r="Q1382"/>
      <c r="R1382" s="8"/>
      <c r="S1382" s="1"/>
      <c r="T1382"/>
      <c r="U1382"/>
      <c r="V1382"/>
    </row>
    <row r="1383" spans="1:22" s="53" customFormat="1" x14ac:dyDescent="0.35">
      <c r="A1383" s="2"/>
      <c r="B1383" s="3"/>
      <c r="C1383" s="3"/>
      <c r="D1383" s="3"/>
      <c r="E1383"/>
      <c r="F1383"/>
      <c r="G1383"/>
      <c r="H1383" s="34"/>
      <c r="I1383"/>
      <c r="J1383"/>
      <c r="K1383"/>
      <c r="L1383"/>
      <c r="M1383"/>
      <c r="N1383"/>
      <c r="O1383"/>
      <c r="P1383"/>
      <c r="Q1383"/>
      <c r="R1383" s="8"/>
      <c r="S1383" s="1"/>
      <c r="T1383"/>
      <c r="U1383"/>
      <c r="V1383"/>
    </row>
    <row r="1384" spans="1:22" s="53" customFormat="1" x14ac:dyDescent="0.35">
      <c r="A1384" s="2"/>
      <c r="B1384" s="3"/>
      <c r="C1384" s="3"/>
      <c r="D1384" s="3"/>
      <c r="E1384"/>
      <c r="F1384"/>
      <c r="G1384"/>
      <c r="H1384" s="34"/>
      <c r="I1384"/>
      <c r="J1384"/>
      <c r="K1384"/>
      <c r="L1384"/>
      <c r="M1384"/>
      <c r="N1384"/>
      <c r="O1384"/>
      <c r="P1384"/>
      <c r="Q1384"/>
      <c r="R1384" s="8"/>
      <c r="S1384" s="1"/>
      <c r="T1384"/>
      <c r="U1384"/>
      <c r="V1384"/>
    </row>
    <row r="1385" spans="1:22" s="53" customFormat="1" x14ac:dyDescent="0.35">
      <c r="A1385" s="2"/>
      <c r="B1385" s="3"/>
      <c r="C1385" s="3"/>
      <c r="D1385" s="3"/>
      <c r="E1385"/>
      <c r="F1385"/>
      <c r="G1385"/>
      <c r="H1385" s="34"/>
      <c r="I1385"/>
      <c r="J1385"/>
      <c r="K1385"/>
      <c r="L1385"/>
      <c r="M1385"/>
      <c r="N1385"/>
      <c r="O1385"/>
      <c r="P1385"/>
      <c r="Q1385"/>
      <c r="R1385" s="8"/>
      <c r="S1385" s="1"/>
      <c r="T1385"/>
      <c r="U1385"/>
      <c r="V1385"/>
    </row>
    <row r="1386" spans="1:22" s="53" customFormat="1" x14ac:dyDescent="0.35">
      <c r="A1386" s="2"/>
      <c r="B1386" s="3"/>
      <c r="C1386" s="3"/>
      <c r="D1386" s="3"/>
      <c r="E1386"/>
      <c r="F1386"/>
      <c r="G1386"/>
      <c r="H1386" s="34"/>
      <c r="I1386"/>
      <c r="J1386"/>
      <c r="K1386"/>
      <c r="L1386"/>
      <c r="M1386"/>
      <c r="N1386"/>
      <c r="O1386"/>
      <c r="P1386"/>
      <c r="Q1386"/>
      <c r="R1386" s="8"/>
      <c r="S1386" s="1"/>
      <c r="T1386"/>
      <c r="U1386"/>
      <c r="V1386"/>
    </row>
    <row r="1387" spans="1:22" s="53" customFormat="1" x14ac:dyDescent="0.35">
      <c r="A1387" s="2"/>
      <c r="B1387" s="3"/>
      <c r="C1387" s="3"/>
      <c r="D1387" s="3"/>
      <c r="E1387"/>
      <c r="F1387"/>
      <c r="G1387"/>
      <c r="H1387" s="34"/>
      <c r="I1387"/>
      <c r="J1387"/>
      <c r="K1387"/>
      <c r="L1387"/>
      <c r="M1387"/>
      <c r="N1387"/>
      <c r="O1387"/>
      <c r="P1387"/>
      <c r="Q1387"/>
      <c r="R1387" s="8"/>
      <c r="S1387" s="1"/>
      <c r="T1387"/>
      <c r="U1387"/>
      <c r="V1387"/>
    </row>
    <row r="1388" spans="1:22" s="53" customFormat="1" x14ac:dyDescent="0.35">
      <c r="A1388" s="2"/>
      <c r="B1388" s="3"/>
      <c r="C1388" s="3"/>
      <c r="D1388" s="3"/>
      <c r="E1388"/>
      <c r="F1388"/>
      <c r="G1388"/>
      <c r="H1388" s="34"/>
      <c r="I1388"/>
      <c r="J1388"/>
      <c r="K1388"/>
      <c r="L1388"/>
      <c r="M1388"/>
      <c r="N1388"/>
      <c r="O1388"/>
      <c r="P1388"/>
      <c r="Q1388"/>
      <c r="R1388" s="8"/>
      <c r="S1388" s="1"/>
      <c r="T1388"/>
      <c r="U1388"/>
      <c r="V1388"/>
    </row>
    <row r="1389" spans="1:22" s="53" customFormat="1" x14ac:dyDescent="0.35">
      <c r="A1389" s="2"/>
      <c r="B1389" s="3"/>
      <c r="C1389" s="3"/>
      <c r="D1389" s="3"/>
      <c r="E1389"/>
      <c r="F1389"/>
      <c r="G1389"/>
      <c r="H1389" s="34"/>
      <c r="I1389"/>
      <c r="J1389"/>
      <c r="K1389"/>
      <c r="L1389"/>
      <c r="M1389"/>
      <c r="N1389"/>
      <c r="O1389"/>
      <c r="P1389"/>
      <c r="Q1389"/>
      <c r="R1389" s="8"/>
      <c r="S1389" s="1"/>
      <c r="T1389"/>
      <c r="U1389"/>
      <c r="V1389"/>
    </row>
    <row r="1390" spans="1:22" s="53" customFormat="1" x14ac:dyDescent="0.35">
      <c r="A1390" s="2"/>
      <c r="B1390" s="3"/>
      <c r="C1390" s="3"/>
      <c r="D1390" s="3"/>
      <c r="E1390"/>
      <c r="F1390"/>
      <c r="G1390"/>
      <c r="H1390" s="34"/>
      <c r="I1390"/>
      <c r="J1390"/>
      <c r="K1390"/>
      <c r="L1390"/>
      <c r="M1390"/>
      <c r="N1390"/>
      <c r="O1390"/>
      <c r="P1390"/>
      <c r="Q1390"/>
      <c r="R1390" s="8"/>
      <c r="S1390" s="1"/>
      <c r="T1390"/>
      <c r="U1390"/>
      <c r="V1390"/>
    </row>
    <row r="1391" spans="1:22" s="53" customFormat="1" x14ac:dyDescent="0.35">
      <c r="A1391" s="2"/>
      <c r="B1391" s="3"/>
      <c r="C1391" s="3"/>
      <c r="D1391" s="3"/>
      <c r="E1391"/>
      <c r="F1391"/>
      <c r="G1391"/>
      <c r="H1391" s="34"/>
      <c r="I1391"/>
      <c r="J1391"/>
      <c r="K1391"/>
      <c r="L1391"/>
      <c r="M1391"/>
      <c r="N1391"/>
      <c r="O1391"/>
      <c r="P1391"/>
      <c r="Q1391"/>
      <c r="R1391" s="8"/>
      <c r="S1391" s="1"/>
      <c r="T1391"/>
      <c r="U1391"/>
      <c r="V1391"/>
    </row>
    <row r="1392" spans="1:22" s="53" customFormat="1" x14ac:dyDescent="0.35">
      <c r="A1392" s="2"/>
      <c r="B1392" s="3"/>
      <c r="C1392" s="3"/>
      <c r="D1392" s="3"/>
      <c r="E1392"/>
      <c r="F1392"/>
      <c r="G1392"/>
      <c r="H1392" s="34"/>
      <c r="I1392"/>
      <c r="J1392"/>
      <c r="K1392"/>
      <c r="L1392"/>
      <c r="M1392"/>
      <c r="N1392"/>
      <c r="O1392"/>
      <c r="P1392"/>
      <c r="Q1392"/>
      <c r="R1392" s="8"/>
      <c r="S1392" s="1"/>
      <c r="T1392"/>
      <c r="U1392"/>
      <c r="V1392"/>
    </row>
    <row r="1393" spans="1:22" s="53" customFormat="1" x14ac:dyDescent="0.35">
      <c r="A1393" s="2"/>
      <c r="B1393" s="3"/>
      <c r="C1393" s="3"/>
      <c r="D1393" s="3"/>
      <c r="E1393"/>
      <c r="F1393"/>
      <c r="G1393"/>
      <c r="H1393" s="34"/>
      <c r="I1393"/>
      <c r="J1393"/>
      <c r="K1393"/>
      <c r="L1393"/>
      <c r="M1393"/>
      <c r="N1393"/>
      <c r="O1393"/>
      <c r="P1393"/>
      <c r="Q1393"/>
      <c r="R1393" s="8"/>
      <c r="S1393" s="1"/>
      <c r="T1393"/>
      <c r="U1393"/>
      <c r="V1393"/>
    </row>
    <row r="1394" spans="1:22" s="53" customFormat="1" x14ac:dyDescent="0.35">
      <c r="A1394" s="2"/>
      <c r="B1394" s="3"/>
      <c r="C1394" s="3"/>
      <c r="D1394" s="3"/>
      <c r="E1394"/>
      <c r="F1394"/>
      <c r="G1394"/>
      <c r="H1394" s="34"/>
      <c r="I1394"/>
      <c r="J1394"/>
      <c r="K1394"/>
      <c r="L1394"/>
      <c r="M1394"/>
      <c r="N1394"/>
      <c r="O1394"/>
      <c r="P1394"/>
      <c r="Q1394"/>
      <c r="R1394" s="8"/>
      <c r="S1394" s="1"/>
      <c r="T1394"/>
      <c r="U1394"/>
      <c r="V1394"/>
    </row>
    <row r="1395" spans="1:22" s="53" customFormat="1" x14ac:dyDescent="0.35">
      <c r="A1395" s="2"/>
      <c r="B1395" s="3"/>
      <c r="C1395" s="3"/>
      <c r="D1395" s="3"/>
      <c r="E1395"/>
      <c r="F1395"/>
      <c r="G1395"/>
      <c r="H1395" s="34"/>
      <c r="I1395"/>
      <c r="J1395"/>
      <c r="K1395"/>
      <c r="L1395"/>
      <c r="M1395"/>
      <c r="N1395"/>
      <c r="O1395"/>
      <c r="P1395"/>
      <c r="Q1395"/>
      <c r="R1395" s="8"/>
      <c r="S1395" s="1"/>
      <c r="T1395"/>
      <c r="U1395"/>
      <c r="V1395"/>
    </row>
    <row r="1396" spans="1:22" s="53" customFormat="1" x14ac:dyDescent="0.35">
      <c r="A1396" s="2"/>
      <c r="B1396" s="3"/>
      <c r="C1396" s="3"/>
      <c r="D1396" s="3"/>
      <c r="E1396"/>
      <c r="F1396"/>
      <c r="G1396"/>
      <c r="H1396" s="34"/>
      <c r="I1396"/>
      <c r="J1396"/>
      <c r="K1396"/>
      <c r="L1396"/>
      <c r="M1396"/>
      <c r="N1396"/>
      <c r="O1396"/>
      <c r="P1396"/>
      <c r="Q1396"/>
      <c r="R1396" s="8"/>
      <c r="S1396" s="1"/>
      <c r="T1396"/>
      <c r="U1396"/>
      <c r="V1396"/>
    </row>
    <row r="1397" spans="1:22" s="53" customFormat="1" x14ac:dyDescent="0.35">
      <c r="A1397" s="2"/>
      <c r="B1397" s="3"/>
      <c r="C1397" s="3"/>
      <c r="D1397" s="3"/>
      <c r="E1397"/>
      <c r="F1397"/>
      <c r="G1397"/>
      <c r="H1397" s="34"/>
      <c r="I1397"/>
      <c r="J1397"/>
      <c r="K1397"/>
      <c r="L1397"/>
      <c r="M1397"/>
      <c r="N1397"/>
      <c r="O1397"/>
      <c r="P1397"/>
      <c r="Q1397"/>
      <c r="R1397" s="8"/>
      <c r="S1397" s="1"/>
      <c r="T1397"/>
      <c r="U1397"/>
      <c r="V1397"/>
    </row>
    <row r="1398" spans="1:22" s="53" customFormat="1" x14ac:dyDescent="0.35">
      <c r="A1398" s="2"/>
      <c r="B1398" s="3"/>
      <c r="C1398" s="3"/>
      <c r="D1398" s="3"/>
      <c r="E1398"/>
      <c r="F1398"/>
      <c r="G1398"/>
      <c r="H1398" s="34"/>
      <c r="I1398"/>
      <c r="J1398"/>
      <c r="K1398"/>
      <c r="L1398"/>
      <c r="M1398"/>
      <c r="N1398"/>
      <c r="O1398"/>
      <c r="P1398"/>
      <c r="Q1398"/>
      <c r="R1398" s="8"/>
      <c r="S1398" s="1"/>
      <c r="T1398"/>
      <c r="U1398"/>
      <c r="V1398"/>
    </row>
    <row r="1399" spans="1:22" s="53" customFormat="1" x14ac:dyDescent="0.35">
      <c r="A1399" s="2"/>
      <c r="B1399" s="3"/>
      <c r="C1399" s="3"/>
      <c r="D1399" s="3"/>
      <c r="E1399"/>
      <c r="F1399"/>
      <c r="G1399"/>
      <c r="H1399" s="34"/>
      <c r="I1399"/>
      <c r="J1399"/>
      <c r="K1399"/>
      <c r="L1399"/>
      <c r="M1399"/>
      <c r="N1399"/>
      <c r="O1399"/>
      <c r="P1399"/>
      <c r="Q1399"/>
      <c r="R1399" s="8"/>
      <c r="S1399" s="1"/>
      <c r="T1399"/>
      <c r="U1399"/>
      <c r="V1399"/>
    </row>
    <row r="1400" spans="1:22" s="53" customFormat="1" x14ac:dyDescent="0.35">
      <c r="A1400" s="2"/>
      <c r="B1400" s="3"/>
      <c r="C1400" s="3"/>
      <c r="D1400" s="3"/>
      <c r="E1400"/>
      <c r="F1400"/>
      <c r="G1400"/>
      <c r="H1400" s="34"/>
      <c r="I1400"/>
      <c r="J1400"/>
      <c r="K1400"/>
      <c r="L1400"/>
      <c r="M1400"/>
      <c r="N1400"/>
      <c r="O1400"/>
      <c r="P1400"/>
      <c r="Q1400"/>
      <c r="R1400" s="8"/>
      <c r="S1400" s="1"/>
      <c r="T1400"/>
      <c r="U1400"/>
      <c r="V1400"/>
    </row>
    <row r="1401" spans="1:22" s="53" customFormat="1" x14ac:dyDescent="0.35">
      <c r="A1401" s="2"/>
      <c r="B1401" s="3"/>
      <c r="C1401" s="3"/>
      <c r="D1401" s="3"/>
      <c r="E1401"/>
      <c r="F1401"/>
      <c r="G1401"/>
      <c r="H1401" s="34"/>
      <c r="I1401"/>
      <c r="J1401"/>
      <c r="K1401"/>
      <c r="L1401"/>
      <c r="M1401"/>
      <c r="N1401"/>
      <c r="O1401"/>
      <c r="P1401"/>
      <c r="Q1401"/>
      <c r="R1401" s="8"/>
      <c r="S1401" s="1"/>
      <c r="T1401"/>
      <c r="U1401"/>
      <c r="V1401"/>
    </row>
    <row r="1402" spans="1:22" s="53" customFormat="1" x14ac:dyDescent="0.35">
      <c r="A1402" s="2"/>
      <c r="B1402" s="3"/>
      <c r="C1402" s="3"/>
      <c r="D1402" s="3"/>
      <c r="E1402"/>
      <c r="F1402"/>
      <c r="G1402"/>
      <c r="H1402" s="34"/>
      <c r="I1402"/>
      <c r="J1402"/>
      <c r="K1402"/>
      <c r="L1402"/>
      <c r="M1402"/>
      <c r="N1402"/>
      <c r="O1402"/>
      <c r="P1402"/>
      <c r="Q1402"/>
      <c r="R1402" s="8"/>
      <c r="S1402" s="1"/>
      <c r="T1402"/>
      <c r="U1402"/>
      <c r="V1402"/>
    </row>
    <row r="1403" spans="1:22" s="53" customFormat="1" x14ac:dyDescent="0.35">
      <c r="A1403" s="2"/>
      <c r="B1403" s="3"/>
      <c r="C1403" s="3"/>
      <c r="D1403" s="3"/>
      <c r="E1403"/>
      <c r="F1403"/>
      <c r="G1403"/>
      <c r="H1403" s="34"/>
      <c r="I1403"/>
      <c r="J1403"/>
      <c r="K1403"/>
      <c r="L1403"/>
      <c r="M1403"/>
      <c r="N1403"/>
      <c r="O1403"/>
      <c r="P1403"/>
      <c r="Q1403"/>
      <c r="R1403" s="8"/>
      <c r="S1403" s="1"/>
      <c r="T1403"/>
      <c r="U1403"/>
      <c r="V1403"/>
    </row>
    <row r="1404" spans="1:22" s="53" customFormat="1" x14ac:dyDescent="0.35">
      <c r="A1404" s="2"/>
      <c r="B1404" s="3"/>
      <c r="C1404" s="3"/>
      <c r="D1404" s="3"/>
      <c r="E1404"/>
      <c r="F1404"/>
      <c r="G1404"/>
      <c r="H1404" s="34"/>
      <c r="I1404"/>
      <c r="J1404"/>
      <c r="K1404"/>
      <c r="L1404"/>
      <c r="M1404"/>
      <c r="N1404"/>
      <c r="O1404"/>
      <c r="P1404"/>
      <c r="Q1404"/>
      <c r="R1404" s="8"/>
      <c r="S1404" s="1"/>
      <c r="T1404"/>
      <c r="U1404"/>
      <c r="V1404"/>
    </row>
    <row r="1405" spans="1:22" s="53" customFormat="1" x14ac:dyDescent="0.35">
      <c r="A1405" s="2"/>
      <c r="B1405" s="3"/>
      <c r="C1405" s="3"/>
      <c r="D1405" s="3"/>
      <c r="E1405"/>
      <c r="F1405"/>
      <c r="G1405"/>
      <c r="H1405" s="34"/>
      <c r="I1405"/>
      <c r="J1405"/>
      <c r="K1405"/>
      <c r="L1405"/>
      <c r="M1405"/>
      <c r="N1405"/>
      <c r="O1405"/>
      <c r="P1405"/>
      <c r="Q1405"/>
      <c r="R1405" s="8"/>
      <c r="S1405" s="1"/>
      <c r="T1405"/>
      <c r="U1405"/>
      <c r="V1405"/>
    </row>
    <row r="1406" spans="1:22" s="53" customFormat="1" x14ac:dyDescent="0.35">
      <c r="A1406" s="2"/>
      <c r="B1406" s="3"/>
      <c r="C1406" s="3"/>
      <c r="D1406" s="3"/>
      <c r="E1406"/>
      <c r="F1406"/>
      <c r="G1406"/>
      <c r="H1406" s="34"/>
      <c r="I1406"/>
      <c r="J1406"/>
      <c r="K1406"/>
      <c r="L1406"/>
      <c r="M1406"/>
      <c r="N1406"/>
      <c r="O1406"/>
      <c r="P1406"/>
      <c r="Q1406"/>
      <c r="R1406" s="8"/>
      <c r="S1406" s="1"/>
      <c r="T1406"/>
      <c r="U1406"/>
      <c r="V1406"/>
    </row>
    <row r="1407" spans="1:22" s="53" customFormat="1" x14ac:dyDescent="0.35">
      <c r="A1407" s="2"/>
      <c r="B1407" s="3"/>
      <c r="C1407" s="3"/>
      <c r="D1407" s="3"/>
      <c r="E1407"/>
      <c r="F1407"/>
      <c r="G1407"/>
      <c r="H1407" s="34"/>
      <c r="I1407"/>
      <c r="J1407"/>
      <c r="K1407"/>
      <c r="L1407"/>
      <c r="M1407"/>
      <c r="N1407"/>
      <c r="O1407"/>
      <c r="P1407"/>
      <c r="Q1407"/>
      <c r="R1407" s="8"/>
      <c r="S1407" s="1"/>
      <c r="T1407"/>
      <c r="U1407"/>
      <c r="V1407"/>
    </row>
    <row r="1408" spans="1:22" s="53" customFormat="1" x14ac:dyDescent="0.35">
      <c r="A1408" s="2"/>
      <c r="B1408" s="3"/>
      <c r="C1408" s="3"/>
      <c r="D1408" s="3"/>
      <c r="E1408"/>
      <c r="F1408"/>
      <c r="G1408"/>
      <c r="H1408" s="34"/>
      <c r="I1408"/>
      <c r="J1408"/>
      <c r="K1408"/>
      <c r="L1408"/>
      <c r="M1408"/>
      <c r="N1408"/>
      <c r="O1408"/>
      <c r="P1408"/>
      <c r="Q1408"/>
      <c r="R1408" s="8"/>
      <c r="S1408" s="1"/>
      <c r="T1408"/>
      <c r="U1408"/>
      <c r="V1408"/>
    </row>
    <row r="1409" spans="1:22" s="53" customFormat="1" x14ac:dyDescent="0.35">
      <c r="A1409" s="2"/>
      <c r="B1409" s="3"/>
      <c r="C1409" s="3"/>
      <c r="D1409" s="3"/>
      <c r="E1409"/>
      <c r="F1409"/>
      <c r="G1409"/>
      <c r="H1409" s="34"/>
      <c r="I1409"/>
      <c r="J1409"/>
      <c r="K1409"/>
      <c r="L1409"/>
      <c r="M1409"/>
      <c r="N1409"/>
      <c r="O1409"/>
      <c r="P1409"/>
      <c r="Q1409"/>
      <c r="R1409" s="8"/>
      <c r="S1409" s="1"/>
      <c r="T1409"/>
      <c r="U1409"/>
      <c r="V1409"/>
    </row>
    <row r="1410" spans="1:22" s="53" customFormat="1" x14ac:dyDescent="0.35">
      <c r="A1410" s="2"/>
      <c r="B1410" s="3"/>
      <c r="C1410" s="3"/>
      <c r="D1410" s="3"/>
      <c r="E1410"/>
      <c r="F1410"/>
      <c r="G1410"/>
      <c r="H1410" s="34"/>
      <c r="I1410"/>
      <c r="J1410"/>
      <c r="K1410"/>
      <c r="L1410"/>
      <c r="M1410"/>
      <c r="N1410"/>
      <c r="O1410"/>
      <c r="P1410"/>
      <c r="Q1410"/>
      <c r="R1410" s="8"/>
      <c r="S1410" s="1"/>
      <c r="T1410"/>
      <c r="U1410"/>
      <c r="V1410"/>
    </row>
    <row r="1411" spans="1:22" s="53" customFormat="1" x14ac:dyDescent="0.35">
      <c r="A1411" s="2"/>
      <c r="B1411" s="3"/>
      <c r="C1411" s="3"/>
      <c r="D1411" s="3"/>
      <c r="E1411"/>
      <c r="F1411"/>
      <c r="G1411"/>
      <c r="H1411" s="34"/>
      <c r="I1411"/>
      <c r="J1411"/>
      <c r="K1411"/>
      <c r="L1411"/>
      <c r="M1411"/>
      <c r="N1411"/>
      <c r="O1411"/>
      <c r="P1411"/>
      <c r="Q1411"/>
      <c r="R1411" s="8"/>
      <c r="S1411" s="1"/>
      <c r="T1411"/>
      <c r="U1411"/>
      <c r="V1411"/>
    </row>
    <row r="1412" spans="1:22" s="53" customFormat="1" x14ac:dyDescent="0.35">
      <c r="A1412" s="2"/>
      <c r="B1412" s="3"/>
      <c r="C1412" s="3"/>
      <c r="D1412" s="3"/>
      <c r="E1412"/>
      <c r="F1412"/>
      <c r="G1412"/>
      <c r="H1412" s="34"/>
      <c r="I1412"/>
      <c r="J1412"/>
      <c r="K1412"/>
      <c r="L1412"/>
      <c r="M1412"/>
      <c r="N1412"/>
      <c r="O1412"/>
      <c r="P1412"/>
      <c r="Q1412"/>
      <c r="R1412" s="8"/>
      <c r="S1412" s="1"/>
      <c r="T1412"/>
      <c r="U1412"/>
      <c r="V1412"/>
    </row>
    <row r="1413" spans="1:22" s="53" customFormat="1" x14ac:dyDescent="0.35">
      <c r="A1413" s="2"/>
      <c r="B1413" s="3"/>
      <c r="C1413" s="3"/>
      <c r="D1413" s="3"/>
      <c r="E1413"/>
      <c r="F1413"/>
      <c r="G1413"/>
      <c r="H1413" s="34"/>
      <c r="I1413"/>
      <c r="J1413"/>
      <c r="K1413"/>
      <c r="L1413"/>
      <c r="M1413"/>
      <c r="N1413"/>
      <c r="O1413"/>
      <c r="P1413"/>
      <c r="Q1413"/>
      <c r="R1413" s="8"/>
      <c r="S1413" s="1"/>
      <c r="T1413"/>
      <c r="U1413"/>
      <c r="V1413"/>
    </row>
    <row r="1414" spans="1:22" s="53" customFormat="1" x14ac:dyDescent="0.35">
      <c r="A1414" s="2"/>
      <c r="B1414" s="3"/>
      <c r="C1414" s="3"/>
      <c r="D1414" s="3"/>
      <c r="E1414"/>
      <c r="F1414"/>
      <c r="G1414"/>
      <c r="H1414" s="34"/>
      <c r="I1414"/>
      <c r="J1414"/>
      <c r="K1414"/>
      <c r="L1414"/>
      <c r="M1414"/>
      <c r="N1414"/>
      <c r="O1414"/>
      <c r="P1414"/>
      <c r="Q1414"/>
      <c r="R1414" s="8"/>
      <c r="S1414" s="1"/>
      <c r="T1414"/>
      <c r="U1414"/>
      <c r="V1414"/>
    </row>
    <row r="1415" spans="1:22" s="53" customFormat="1" x14ac:dyDescent="0.35">
      <c r="A1415" s="2"/>
      <c r="B1415" s="3"/>
      <c r="C1415" s="3"/>
      <c r="D1415" s="3"/>
      <c r="E1415"/>
      <c r="F1415"/>
      <c r="G1415"/>
      <c r="H1415" s="34"/>
      <c r="I1415"/>
      <c r="J1415"/>
      <c r="K1415"/>
      <c r="L1415"/>
      <c r="M1415"/>
      <c r="N1415"/>
      <c r="O1415"/>
      <c r="P1415"/>
      <c r="Q1415"/>
      <c r="R1415" s="8"/>
      <c r="S1415" s="1"/>
      <c r="T1415"/>
      <c r="U1415"/>
      <c r="V1415"/>
    </row>
    <row r="1416" spans="1:22" s="53" customFormat="1" x14ac:dyDescent="0.35">
      <c r="A1416" s="2"/>
      <c r="B1416" s="3"/>
      <c r="C1416" s="3"/>
      <c r="D1416" s="3"/>
      <c r="E1416"/>
      <c r="F1416"/>
      <c r="G1416"/>
      <c r="H1416" s="34"/>
      <c r="I1416"/>
      <c r="J1416"/>
      <c r="K1416"/>
      <c r="L1416"/>
      <c r="M1416"/>
      <c r="N1416"/>
      <c r="O1416"/>
      <c r="P1416"/>
      <c r="Q1416"/>
      <c r="R1416" s="8"/>
      <c r="S1416" s="1"/>
      <c r="T1416"/>
      <c r="U1416"/>
      <c r="V1416"/>
    </row>
    <row r="1417" spans="1:22" s="53" customFormat="1" x14ac:dyDescent="0.35">
      <c r="A1417" s="2"/>
      <c r="B1417" s="3"/>
      <c r="C1417" s="3"/>
      <c r="D1417" s="3"/>
      <c r="E1417"/>
      <c r="F1417"/>
      <c r="G1417"/>
      <c r="H1417" s="34"/>
      <c r="I1417"/>
      <c r="J1417"/>
      <c r="K1417"/>
      <c r="L1417"/>
      <c r="M1417"/>
      <c r="N1417"/>
      <c r="O1417"/>
      <c r="P1417"/>
      <c r="Q1417"/>
      <c r="R1417" s="8"/>
      <c r="S1417" s="1"/>
      <c r="T1417"/>
      <c r="U1417"/>
      <c r="V1417"/>
    </row>
    <row r="1418" spans="1:22" s="53" customFormat="1" x14ac:dyDescent="0.35">
      <c r="A1418" s="2"/>
      <c r="B1418" s="3"/>
      <c r="C1418" s="3"/>
      <c r="D1418" s="3"/>
      <c r="E1418"/>
      <c r="F1418"/>
      <c r="G1418"/>
      <c r="H1418" s="34"/>
      <c r="I1418"/>
      <c r="J1418"/>
      <c r="K1418"/>
      <c r="L1418"/>
      <c r="M1418"/>
      <c r="N1418"/>
      <c r="O1418"/>
      <c r="P1418"/>
      <c r="Q1418"/>
      <c r="R1418" s="8"/>
      <c r="S1418" s="1"/>
      <c r="T1418"/>
      <c r="U1418"/>
      <c r="V1418"/>
    </row>
    <row r="1419" spans="1:22" s="53" customFormat="1" x14ac:dyDescent="0.35">
      <c r="A1419" s="2"/>
      <c r="B1419" s="3"/>
      <c r="C1419" s="3"/>
      <c r="D1419" s="3"/>
      <c r="E1419"/>
      <c r="F1419"/>
      <c r="G1419"/>
      <c r="H1419" s="34"/>
      <c r="I1419"/>
      <c r="J1419"/>
      <c r="K1419"/>
      <c r="L1419"/>
      <c r="M1419"/>
      <c r="N1419"/>
      <c r="O1419"/>
      <c r="P1419"/>
      <c r="Q1419"/>
      <c r="R1419" s="8"/>
      <c r="S1419" s="1"/>
      <c r="T1419"/>
      <c r="U1419"/>
      <c r="V1419"/>
    </row>
    <row r="1420" spans="1:22" s="53" customFormat="1" x14ac:dyDescent="0.35">
      <c r="A1420" s="2"/>
      <c r="B1420" s="3"/>
      <c r="C1420" s="3"/>
      <c r="D1420" s="3"/>
      <c r="E1420"/>
      <c r="F1420"/>
      <c r="G1420"/>
      <c r="H1420" s="34"/>
      <c r="I1420"/>
      <c r="J1420"/>
      <c r="K1420"/>
      <c r="L1420"/>
      <c r="M1420"/>
      <c r="N1420"/>
      <c r="O1420"/>
      <c r="P1420"/>
      <c r="Q1420"/>
      <c r="R1420" s="8"/>
      <c r="S1420" s="1"/>
      <c r="T1420"/>
      <c r="U1420"/>
      <c r="V1420"/>
    </row>
    <row r="1421" spans="1:22" s="53" customFormat="1" x14ac:dyDescent="0.35">
      <c r="A1421" s="2"/>
      <c r="B1421" s="3"/>
      <c r="C1421" s="3"/>
      <c r="D1421" s="3"/>
      <c r="E1421"/>
      <c r="F1421"/>
      <c r="G1421"/>
      <c r="H1421" s="34"/>
      <c r="I1421"/>
      <c r="J1421"/>
      <c r="K1421"/>
      <c r="L1421"/>
      <c r="M1421"/>
      <c r="N1421"/>
      <c r="O1421"/>
      <c r="P1421"/>
      <c r="Q1421"/>
      <c r="R1421" s="8"/>
      <c r="S1421" s="1"/>
      <c r="T1421"/>
      <c r="U1421"/>
      <c r="V1421"/>
    </row>
    <row r="1422" spans="1:22" s="53" customFormat="1" x14ac:dyDescent="0.35">
      <c r="A1422" s="2"/>
      <c r="B1422" s="3"/>
      <c r="C1422" s="3"/>
      <c r="D1422" s="3"/>
      <c r="E1422"/>
      <c r="F1422"/>
      <c r="G1422"/>
      <c r="H1422" s="34"/>
      <c r="I1422"/>
      <c r="J1422"/>
      <c r="K1422"/>
      <c r="L1422"/>
      <c r="M1422"/>
      <c r="N1422"/>
      <c r="O1422"/>
      <c r="P1422"/>
      <c r="Q1422"/>
      <c r="R1422" s="8"/>
      <c r="S1422" s="1"/>
      <c r="T1422"/>
      <c r="U1422"/>
      <c r="V1422"/>
    </row>
    <row r="1423" spans="1:22" s="53" customFormat="1" x14ac:dyDescent="0.35">
      <c r="A1423" s="2"/>
      <c r="B1423" s="3"/>
      <c r="C1423" s="3"/>
      <c r="D1423" s="3"/>
      <c r="E1423"/>
      <c r="F1423"/>
      <c r="G1423"/>
      <c r="H1423" s="34"/>
      <c r="I1423"/>
      <c r="J1423"/>
      <c r="K1423"/>
      <c r="L1423"/>
      <c r="M1423"/>
      <c r="N1423"/>
      <c r="O1423"/>
      <c r="P1423"/>
      <c r="Q1423"/>
      <c r="R1423" s="8"/>
      <c r="S1423" s="1"/>
      <c r="T1423"/>
      <c r="U1423"/>
      <c r="V1423"/>
    </row>
    <row r="1424" spans="1:22" s="53" customFormat="1" x14ac:dyDescent="0.35">
      <c r="A1424" s="2"/>
      <c r="B1424" s="3"/>
      <c r="C1424" s="3"/>
      <c r="D1424" s="3"/>
      <c r="E1424"/>
      <c r="F1424"/>
      <c r="G1424"/>
      <c r="H1424" s="34"/>
      <c r="I1424"/>
      <c r="J1424"/>
      <c r="K1424"/>
      <c r="L1424"/>
      <c r="M1424"/>
      <c r="N1424"/>
      <c r="O1424"/>
      <c r="P1424"/>
      <c r="Q1424"/>
      <c r="R1424" s="8"/>
      <c r="S1424" s="1"/>
      <c r="T1424"/>
      <c r="U1424"/>
      <c r="V1424"/>
    </row>
    <row r="1425" spans="1:22" s="53" customFormat="1" x14ac:dyDescent="0.35">
      <c r="A1425" s="2"/>
      <c r="B1425" s="3"/>
      <c r="C1425" s="3"/>
      <c r="D1425" s="3"/>
      <c r="E1425"/>
      <c r="F1425"/>
      <c r="G1425"/>
      <c r="H1425" s="34"/>
      <c r="I1425"/>
      <c r="J1425"/>
      <c r="K1425"/>
      <c r="L1425"/>
      <c r="M1425"/>
      <c r="N1425"/>
      <c r="O1425"/>
      <c r="P1425"/>
      <c r="Q1425"/>
      <c r="R1425" s="8"/>
      <c r="S1425" s="1"/>
      <c r="T1425"/>
      <c r="U1425"/>
      <c r="V1425"/>
    </row>
    <row r="1426" spans="1:22" s="53" customFormat="1" x14ac:dyDescent="0.35">
      <c r="A1426" s="2"/>
      <c r="B1426" s="3"/>
      <c r="C1426" s="3"/>
      <c r="D1426" s="3"/>
      <c r="E1426"/>
      <c r="F1426"/>
      <c r="G1426"/>
      <c r="H1426" s="34"/>
      <c r="I1426"/>
      <c r="J1426"/>
      <c r="K1426"/>
      <c r="L1426"/>
      <c r="M1426"/>
      <c r="N1426"/>
      <c r="O1426"/>
      <c r="P1426"/>
      <c r="Q1426"/>
      <c r="R1426" s="8"/>
      <c r="S1426" s="1"/>
      <c r="T1426"/>
      <c r="U1426"/>
      <c r="V1426"/>
    </row>
    <row r="1427" spans="1:22" s="53" customFormat="1" x14ac:dyDescent="0.35">
      <c r="A1427" s="2"/>
      <c r="B1427" s="3"/>
      <c r="C1427" s="3"/>
      <c r="D1427" s="3"/>
      <c r="E1427"/>
      <c r="F1427"/>
      <c r="G1427"/>
      <c r="H1427" s="34"/>
      <c r="I1427"/>
      <c r="J1427"/>
      <c r="K1427"/>
      <c r="L1427"/>
      <c r="M1427"/>
      <c r="N1427"/>
      <c r="O1427"/>
      <c r="P1427"/>
      <c r="Q1427"/>
      <c r="R1427" s="8"/>
      <c r="S1427" s="1"/>
      <c r="T1427"/>
      <c r="U1427"/>
      <c r="V1427"/>
    </row>
    <row r="1428" spans="1:22" s="53" customFormat="1" x14ac:dyDescent="0.35">
      <c r="A1428" s="2"/>
      <c r="B1428" s="3"/>
      <c r="C1428" s="3"/>
      <c r="D1428" s="3"/>
      <c r="E1428"/>
      <c r="F1428"/>
      <c r="G1428"/>
      <c r="H1428" s="34"/>
      <c r="I1428"/>
      <c r="J1428"/>
      <c r="K1428"/>
      <c r="L1428"/>
      <c r="M1428"/>
      <c r="N1428"/>
      <c r="O1428"/>
      <c r="P1428"/>
      <c r="Q1428"/>
      <c r="R1428" s="8"/>
      <c r="S1428" s="1"/>
      <c r="T1428"/>
      <c r="U1428"/>
      <c r="V1428"/>
    </row>
    <row r="1429" spans="1:22" s="53" customFormat="1" x14ac:dyDescent="0.35">
      <c r="A1429" s="2"/>
      <c r="B1429" s="3"/>
      <c r="C1429" s="3"/>
      <c r="D1429" s="3"/>
      <c r="E1429"/>
      <c r="F1429"/>
      <c r="G1429"/>
      <c r="H1429" s="34"/>
      <c r="I1429"/>
      <c r="J1429"/>
      <c r="K1429"/>
      <c r="L1429"/>
      <c r="M1429"/>
      <c r="N1429"/>
      <c r="O1429"/>
      <c r="P1429"/>
      <c r="Q1429"/>
      <c r="R1429" s="8"/>
      <c r="S1429" s="1"/>
      <c r="T1429"/>
      <c r="U1429"/>
      <c r="V1429"/>
    </row>
    <row r="1430" spans="1:22" s="53" customFormat="1" x14ac:dyDescent="0.35">
      <c r="A1430" s="2"/>
      <c r="B1430" s="3"/>
      <c r="C1430" s="3"/>
      <c r="D1430" s="3"/>
      <c r="E1430"/>
      <c r="F1430"/>
      <c r="G1430"/>
      <c r="H1430" s="34"/>
      <c r="I1430"/>
      <c r="J1430"/>
      <c r="K1430"/>
      <c r="L1430"/>
      <c r="M1430"/>
      <c r="N1430"/>
      <c r="O1430"/>
      <c r="P1430"/>
      <c r="Q1430"/>
      <c r="R1430" s="8"/>
      <c r="S1430" s="1"/>
      <c r="T1430"/>
      <c r="U1430"/>
      <c r="V1430"/>
    </row>
    <row r="1431" spans="1:22" s="53" customFormat="1" x14ac:dyDescent="0.35">
      <c r="A1431" s="2"/>
      <c r="B1431" s="3"/>
      <c r="C1431" s="3"/>
      <c r="D1431" s="3"/>
      <c r="E1431"/>
      <c r="F1431"/>
      <c r="G1431"/>
      <c r="H1431" s="34"/>
      <c r="I1431"/>
      <c r="J1431"/>
      <c r="K1431"/>
      <c r="L1431"/>
      <c r="M1431"/>
      <c r="N1431"/>
      <c r="O1431"/>
      <c r="P1431"/>
      <c r="Q1431"/>
      <c r="R1431" s="8"/>
      <c r="S1431" s="1"/>
      <c r="T1431"/>
      <c r="U1431"/>
      <c r="V1431"/>
    </row>
    <row r="1432" spans="1:22" s="53" customFormat="1" x14ac:dyDescent="0.35">
      <c r="A1432" s="2"/>
      <c r="B1432" s="3"/>
      <c r="C1432" s="3"/>
      <c r="D1432" s="3"/>
      <c r="E1432"/>
      <c r="F1432"/>
      <c r="G1432"/>
      <c r="H1432" s="34"/>
      <c r="I1432"/>
      <c r="J1432"/>
      <c r="K1432"/>
      <c r="L1432"/>
      <c r="M1432"/>
      <c r="N1432"/>
      <c r="O1432"/>
      <c r="P1432"/>
      <c r="Q1432"/>
      <c r="R1432" s="8"/>
      <c r="S1432" s="1"/>
      <c r="T1432"/>
      <c r="U1432"/>
      <c r="V1432"/>
    </row>
    <row r="1433" spans="1:22" s="53" customFormat="1" x14ac:dyDescent="0.35">
      <c r="A1433" s="2"/>
      <c r="B1433" s="3"/>
      <c r="C1433" s="3"/>
      <c r="D1433" s="3"/>
      <c r="E1433"/>
      <c r="F1433"/>
      <c r="G1433"/>
      <c r="H1433" s="34"/>
      <c r="I1433"/>
      <c r="J1433"/>
      <c r="K1433"/>
      <c r="L1433"/>
      <c r="M1433"/>
      <c r="N1433"/>
      <c r="O1433"/>
      <c r="P1433"/>
      <c r="Q1433"/>
      <c r="R1433" s="8"/>
      <c r="S1433" s="1"/>
      <c r="T1433"/>
      <c r="U1433"/>
      <c r="V1433"/>
    </row>
    <row r="1434" spans="1:22" s="53" customFormat="1" x14ac:dyDescent="0.35">
      <c r="A1434" s="2"/>
      <c r="B1434" s="3"/>
      <c r="C1434" s="3"/>
      <c r="D1434" s="3"/>
      <c r="E1434"/>
      <c r="F1434"/>
      <c r="G1434"/>
      <c r="H1434" s="34"/>
      <c r="I1434"/>
      <c r="J1434"/>
      <c r="K1434"/>
      <c r="L1434"/>
      <c r="M1434"/>
      <c r="N1434"/>
      <c r="O1434"/>
      <c r="P1434"/>
      <c r="Q1434"/>
      <c r="R1434" s="8"/>
      <c r="S1434" s="1"/>
      <c r="T1434"/>
      <c r="U1434"/>
      <c r="V1434"/>
    </row>
    <row r="1435" spans="1:22" s="53" customFormat="1" x14ac:dyDescent="0.35">
      <c r="A1435" s="2"/>
      <c r="B1435" s="3"/>
      <c r="C1435" s="3"/>
      <c r="D1435" s="3"/>
      <c r="E1435"/>
      <c r="F1435"/>
      <c r="G1435"/>
      <c r="H1435" s="34"/>
      <c r="I1435"/>
      <c r="J1435"/>
      <c r="K1435"/>
      <c r="L1435"/>
      <c r="M1435"/>
      <c r="N1435"/>
      <c r="O1435"/>
      <c r="P1435"/>
      <c r="Q1435"/>
      <c r="R1435" s="8"/>
      <c r="S1435" s="1"/>
      <c r="T1435"/>
      <c r="U1435"/>
      <c r="V1435"/>
    </row>
    <row r="1436" spans="1:22" s="53" customFormat="1" x14ac:dyDescent="0.35">
      <c r="A1436" s="2"/>
      <c r="B1436" s="3"/>
      <c r="C1436" s="3"/>
      <c r="D1436" s="3"/>
      <c r="E1436"/>
      <c r="F1436"/>
      <c r="G1436"/>
      <c r="H1436" s="34"/>
      <c r="I1436"/>
      <c r="J1436"/>
      <c r="K1436"/>
      <c r="L1436"/>
      <c r="M1436"/>
      <c r="N1436"/>
      <c r="O1436"/>
      <c r="P1436"/>
      <c r="Q1436"/>
      <c r="R1436" s="8"/>
      <c r="S1436" s="1"/>
      <c r="T1436"/>
      <c r="U1436"/>
      <c r="V1436"/>
    </row>
    <row r="1437" spans="1:22" s="53" customFormat="1" x14ac:dyDescent="0.35">
      <c r="A1437" s="2"/>
      <c r="B1437" s="3"/>
      <c r="C1437" s="3"/>
      <c r="D1437" s="3"/>
      <c r="E1437"/>
      <c r="F1437"/>
      <c r="G1437"/>
      <c r="H1437" s="34"/>
      <c r="I1437"/>
      <c r="J1437"/>
      <c r="K1437"/>
      <c r="L1437"/>
      <c r="M1437"/>
      <c r="N1437"/>
      <c r="O1437"/>
      <c r="P1437"/>
      <c r="Q1437"/>
      <c r="R1437" s="8"/>
      <c r="S1437" s="1"/>
      <c r="T1437"/>
      <c r="U1437"/>
      <c r="V1437"/>
    </row>
    <row r="1438" spans="1:22" s="53" customFormat="1" x14ac:dyDescent="0.35">
      <c r="A1438" s="2"/>
      <c r="B1438" s="3"/>
      <c r="C1438" s="3"/>
      <c r="D1438" s="3"/>
      <c r="E1438"/>
      <c r="F1438"/>
      <c r="G1438"/>
      <c r="H1438" s="34"/>
      <c r="I1438"/>
      <c r="J1438"/>
      <c r="K1438"/>
      <c r="L1438"/>
      <c r="M1438"/>
      <c r="N1438"/>
      <c r="O1438"/>
      <c r="P1438"/>
      <c r="Q1438"/>
      <c r="R1438" s="8"/>
      <c r="S1438" s="1"/>
      <c r="T1438"/>
      <c r="U1438"/>
      <c r="V1438"/>
    </row>
    <row r="1439" spans="1:22" s="53" customFormat="1" x14ac:dyDescent="0.35">
      <c r="A1439" s="2"/>
      <c r="B1439" s="3"/>
      <c r="C1439" s="3"/>
      <c r="D1439" s="3"/>
      <c r="E1439"/>
      <c r="F1439"/>
      <c r="G1439"/>
      <c r="H1439" s="34"/>
      <c r="I1439"/>
      <c r="J1439"/>
      <c r="K1439"/>
      <c r="L1439"/>
      <c r="M1439"/>
      <c r="N1439"/>
      <c r="O1439"/>
      <c r="P1439"/>
      <c r="Q1439"/>
      <c r="R1439" s="8"/>
      <c r="S1439" s="1"/>
      <c r="T1439"/>
      <c r="U1439"/>
      <c r="V1439"/>
    </row>
    <row r="1440" spans="1:22" s="53" customFormat="1" x14ac:dyDescent="0.35">
      <c r="A1440" s="2"/>
      <c r="B1440" s="3"/>
      <c r="C1440" s="3"/>
      <c r="D1440" s="3"/>
      <c r="E1440"/>
      <c r="F1440"/>
      <c r="G1440"/>
      <c r="H1440" s="34"/>
      <c r="I1440"/>
      <c r="J1440"/>
      <c r="K1440"/>
      <c r="L1440"/>
      <c r="M1440"/>
      <c r="N1440"/>
      <c r="O1440"/>
      <c r="P1440"/>
      <c r="Q1440"/>
      <c r="R1440" s="8"/>
      <c r="S1440" s="1"/>
      <c r="T1440"/>
      <c r="U1440"/>
      <c r="V1440"/>
    </row>
    <row r="1441" spans="1:22" s="53" customFormat="1" x14ac:dyDescent="0.35">
      <c r="A1441" s="2"/>
      <c r="B1441" s="3"/>
      <c r="C1441" s="3"/>
      <c r="D1441" s="3"/>
      <c r="E1441"/>
      <c r="F1441"/>
      <c r="G1441"/>
      <c r="H1441" s="34"/>
      <c r="I1441"/>
      <c r="J1441"/>
      <c r="K1441"/>
      <c r="L1441"/>
      <c r="M1441"/>
      <c r="N1441"/>
      <c r="O1441"/>
      <c r="P1441"/>
      <c r="Q1441"/>
      <c r="R1441" s="8"/>
      <c r="S1441" s="1"/>
      <c r="T1441"/>
      <c r="U1441"/>
      <c r="V1441"/>
    </row>
    <row r="1442" spans="1:22" s="53" customFormat="1" x14ac:dyDescent="0.35">
      <c r="A1442" s="2"/>
      <c r="B1442" s="3"/>
      <c r="C1442" s="3"/>
      <c r="D1442" s="3"/>
      <c r="E1442"/>
      <c r="F1442"/>
      <c r="G1442"/>
      <c r="H1442" s="34"/>
      <c r="I1442"/>
      <c r="J1442"/>
      <c r="K1442"/>
      <c r="L1442"/>
      <c r="M1442"/>
      <c r="N1442"/>
      <c r="O1442"/>
      <c r="P1442"/>
      <c r="Q1442"/>
      <c r="R1442" s="8"/>
      <c r="S1442" s="1"/>
      <c r="T1442"/>
      <c r="U1442"/>
      <c r="V1442"/>
    </row>
    <row r="1443" spans="1:22" s="53" customFormat="1" x14ac:dyDescent="0.35">
      <c r="A1443" s="2"/>
      <c r="B1443" s="3"/>
      <c r="C1443" s="3"/>
      <c r="D1443" s="3"/>
      <c r="E1443"/>
      <c r="F1443"/>
      <c r="G1443"/>
      <c r="H1443" s="34"/>
      <c r="I1443"/>
      <c r="J1443"/>
      <c r="K1443"/>
      <c r="L1443"/>
      <c r="M1443"/>
      <c r="N1443"/>
      <c r="O1443"/>
      <c r="P1443"/>
      <c r="Q1443"/>
      <c r="R1443" s="8"/>
      <c r="S1443" s="1"/>
      <c r="T1443"/>
      <c r="U1443"/>
      <c r="V1443"/>
    </row>
    <row r="1444" spans="1:22" s="53" customFormat="1" x14ac:dyDescent="0.35">
      <c r="A1444" s="2"/>
      <c r="B1444" s="3"/>
      <c r="C1444" s="3"/>
      <c r="D1444" s="3"/>
      <c r="E1444"/>
      <c r="F1444"/>
      <c r="G1444"/>
      <c r="H1444" s="34"/>
      <c r="I1444"/>
      <c r="J1444"/>
      <c r="K1444"/>
      <c r="L1444"/>
      <c r="M1444"/>
      <c r="N1444"/>
      <c r="O1444"/>
      <c r="P1444"/>
      <c r="Q1444"/>
      <c r="R1444" s="8"/>
      <c r="S1444" s="1"/>
      <c r="T1444"/>
      <c r="U1444"/>
      <c r="V1444"/>
    </row>
    <row r="1445" spans="1:22" s="53" customFormat="1" x14ac:dyDescent="0.35">
      <c r="A1445" s="2"/>
      <c r="B1445" s="3"/>
      <c r="C1445" s="3"/>
      <c r="D1445" s="3"/>
      <c r="E1445"/>
      <c r="F1445"/>
      <c r="G1445"/>
      <c r="H1445" s="34"/>
      <c r="I1445"/>
      <c r="J1445"/>
      <c r="K1445"/>
      <c r="L1445"/>
      <c r="M1445"/>
      <c r="N1445"/>
      <c r="O1445"/>
      <c r="P1445"/>
      <c r="Q1445"/>
      <c r="R1445" s="8"/>
      <c r="S1445" s="1"/>
      <c r="T1445"/>
      <c r="U1445"/>
      <c r="V1445"/>
    </row>
    <row r="1446" spans="1:22" s="53" customFormat="1" x14ac:dyDescent="0.35">
      <c r="A1446" s="2"/>
      <c r="B1446" s="3"/>
      <c r="C1446" s="3"/>
      <c r="D1446" s="3"/>
      <c r="E1446"/>
      <c r="F1446"/>
      <c r="G1446"/>
      <c r="H1446" s="34"/>
      <c r="I1446"/>
      <c r="J1446"/>
      <c r="K1446"/>
      <c r="L1446"/>
      <c r="M1446"/>
      <c r="N1446"/>
      <c r="O1446"/>
      <c r="P1446"/>
      <c r="Q1446"/>
      <c r="R1446" s="8"/>
      <c r="S1446" s="1"/>
      <c r="T1446"/>
      <c r="U1446"/>
      <c r="V1446"/>
    </row>
    <row r="1447" spans="1:22" s="53" customFormat="1" x14ac:dyDescent="0.35">
      <c r="A1447" s="2"/>
      <c r="B1447" s="3"/>
      <c r="C1447" s="3"/>
      <c r="D1447" s="3"/>
      <c r="E1447"/>
      <c r="F1447"/>
      <c r="G1447"/>
      <c r="H1447" s="34"/>
      <c r="I1447"/>
      <c r="J1447"/>
      <c r="K1447"/>
      <c r="L1447"/>
      <c r="M1447"/>
      <c r="N1447"/>
      <c r="O1447"/>
      <c r="P1447"/>
      <c r="Q1447"/>
      <c r="R1447" s="8"/>
      <c r="S1447" s="1"/>
      <c r="T1447"/>
      <c r="U1447"/>
      <c r="V1447"/>
    </row>
    <row r="1448" spans="1:22" s="53" customFormat="1" x14ac:dyDescent="0.35">
      <c r="A1448" s="2"/>
      <c r="B1448" s="3"/>
      <c r="C1448" s="3"/>
      <c r="D1448" s="3"/>
      <c r="E1448"/>
      <c r="F1448"/>
      <c r="G1448"/>
      <c r="H1448" s="34"/>
      <c r="I1448"/>
      <c r="J1448"/>
      <c r="K1448"/>
      <c r="L1448"/>
      <c r="M1448"/>
      <c r="N1448"/>
      <c r="O1448"/>
      <c r="P1448"/>
      <c r="Q1448"/>
      <c r="R1448" s="8"/>
      <c r="S1448" s="1"/>
      <c r="T1448"/>
      <c r="U1448"/>
      <c r="V1448"/>
    </row>
    <row r="1449" spans="1:22" s="53" customFormat="1" x14ac:dyDescent="0.35">
      <c r="A1449" s="2"/>
      <c r="B1449" s="3"/>
      <c r="C1449" s="3"/>
      <c r="D1449" s="3"/>
      <c r="E1449"/>
      <c r="F1449"/>
      <c r="G1449"/>
      <c r="H1449" s="34"/>
      <c r="I1449"/>
      <c r="J1449"/>
      <c r="K1449"/>
      <c r="L1449"/>
      <c r="M1449"/>
      <c r="N1449"/>
      <c r="O1449"/>
      <c r="P1449"/>
      <c r="Q1449"/>
      <c r="R1449" s="8"/>
      <c r="S1449" s="1"/>
      <c r="T1449"/>
      <c r="U1449"/>
      <c r="V1449"/>
    </row>
    <row r="1450" spans="1:22" s="53" customFormat="1" x14ac:dyDescent="0.35">
      <c r="A1450" s="2"/>
      <c r="B1450" s="3"/>
      <c r="C1450" s="3"/>
      <c r="D1450" s="3"/>
      <c r="E1450"/>
      <c r="F1450"/>
      <c r="G1450"/>
      <c r="H1450" s="34"/>
      <c r="I1450"/>
      <c r="J1450"/>
      <c r="K1450"/>
      <c r="L1450"/>
      <c r="M1450"/>
      <c r="N1450"/>
      <c r="O1450"/>
      <c r="P1450"/>
      <c r="Q1450"/>
      <c r="R1450" s="8"/>
      <c r="S1450" s="1"/>
      <c r="T1450"/>
      <c r="U1450"/>
      <c r="V1450"/>
    </row>
    <row r="1451" spans="1:22" s="53" customFormat="1" x14ac:dyDescent="0.35">
      <c r="A1451" s="2"/>
      <c r="B1451" s="3"/>
      <c r="C1451" s="3"/>
      <c r="D1451" s="3"/>
      <c r="E1451"/>
      <c r="F1451"/>
      <c r="G1451"/>
      <c r="H1451" s="34"/>
      <c r="I1451"/>
      <c r="J1451"/>
      <c r="K1451"/>
      <c r="L1451"/>
      <c r="M1451"/>
      <c r="N1451"/>
      <c r="O1451"/>
      <c r="P1451"/>
      <c r="Q1451"/>
      <c r="R1451" s="8"/>
      <c r="S1451" s="1"/>
      <c r="T1451"/>
      <c r="U1451"/>
      <c r="V1451"/>
    </row>
    <row r="1452" spans="1:22" s="53" customFormat="1" x14ac:dyDescent="0.35">
      <c r="A1452" s="2"/>
      <c r="B1452" s="3"/>
      <c r="C1452" s="3"/>
      <c r="D1452" s="3"/>
      <c r="E1452"/>
      <c r="F1452"/>
      <c r="G1452"/>
      <c r="H1452" s="34"/>
      <c r="I1452"/>
      <c r="J1452"/>
      <c r="K1452"/>
      <c r="L1452"/>
      <c r="M1452"/>
      <c r="N1452"/>
      <c r="O1452"/>
      <c r="P1452"/>
      <c r="Q1452"/>
      <c r="R1452" s="8"/>
      <c r="S1452" s="1"/>
      <c r="T1452"/>
      <c r="U1452"/>
      <c r="V1452"/>
    </row>
    <row r="1453" spans="1:22" s="53" customFormat="1" x14ac:dyDescent="0.35">
      <c r="A1453" s="2"/>
      <c r="B1453" s="3"/>
      <c r="C1453" s="3"/>
      <c r="D1453" s="3"/>
      <c r="E1453"/>
      <c r="F1453"/>
      <c r="G1453"/>
      <c r="H1453" s="34"/>
      <c r="I1453"/>
      <c r="J1453"/>
      <c r="K1453"/>
      <c r="L1453"/>
      <c r="M1453"/>
      <c r="N1453"/>
      <c r="O1453"/>
      <c r="P1453"/>
      <c r="Q1453"/>
      <c r="R1453" s="8"/>
      <c r="S1453" s="1"/>
      <c r="T1453"/>
      <c r="U1453"/>
      <c r="V1453"/>
    </row>
    <row r="1454" spans="1:22" s="53" customFormat="1" x14ac:dyDescent="0.35">
      <c r="A1454" s="2"/>
      <c r="B1454" s="3"/>
      <c r="C1454" s="3"/>
      <c r="D1454" s="3"/>
      <c r="E1454"/>
      <c r="F1454"/>
      <c r="G1454"/>
      <c r="H1454" s="34"/>
      <c r="I1454"/>
      <c r="J1454"/>
      <c r="K1454"/>
      <c r="L1454"/>
      <c r="M1454"/>
      <c r="N1454"/>
      <c r="O1454"/>
      <c r="P1454"/>
      <c r="Q1454"/>
      <c r="R1454" s="8"/>
      <c r="S1454" s="1"/>
      <c r="T1454"/>
      <c r="U1454"/>
      <c r="V1454"/>
    </row>
    <row r="1455" spans="1:22" s="53" customFormat="1" x14ac:dyDescent="0.35">
      <c r="A1455" s="2"/>
      <c r="B1455" s="3"/>
      <c r="C1455" s="3"/>
      <c r="D1455" s="3"/>
      <c r="E1455"/>
      <c r="F1455"/>
      <c r="G1455"/>
      <c r="H1455" s="34"/>
      <c r="I1455"/>
      <c r="J1455"/>
      <c r="K1455"/>
      <c r="L1455"/>
      <c r="M1455"/>
      <c r="N1455"/>
      <c r="O1455"/>
      <c r="P1455"/>
      <c r="Q1455"/>
      <c r="R1455" s="8"/>
      <c r="S1455" s="1"/>
      <c r="T1455"/>
      <c r="U1455"/>
      <c r="V1455"/>
    </row>
    <row r="1456" spans="1:22" s="53" customFormat="1" x14ac:dyDescent="0.35">
      <c r="A1456" s="2"/>
      <c r="B1456" s="3"/>
      <c r="C1456" s="3"/>
      <c r="D1456" s="3"/>
      <c r="E1456"/>
      <c r="F1456"/>
      <c r="G1456"/>
      <c r="H1456" s="34"/>
      <c r="I1456"/>
      <c r="J1456"/>
      <c r="K1456"/>
      <c r="L1456"/>
      <c r="M1456"/>
      <c r="N1456"/>
      <c r="O1456"/>
      <c r="P1456"/>
      <c r="Q1456"/>
      <c r="R1456" s="8"/>
      <c r="S1456" s="1"/>
      <c r="T1456"/>
      <c r="U1456"/>
      <c r="V1456"/>
    </row>
    <row r="1457" spans="1:22" s="53" customFormat="1" x14ac:dyDescent="0.35">
      <c r="A1457" s="2"/>
      <c r="B1457" s="3"/>
      <c r="C1457" s="3"/>
      <c r="D1457" s="3"/>
      <c r="E1457"/>
      <c r="F1457"/>
      <c r="G1457"/>
      <c r="H1457" s="34"/>
      <c r="I1457"/>
      <c r="J1457"/>
      <c r="K1457"/>
      <c r="L1457"/>
      <c r="M1457"/>
      <c r="N1457"/>
      <c r="O1457"/>
      <c r="P1457"/>
      <c r="Q1457"/>
      <c r="R1457" s="8"/>
      <c r="S1457" s="1"/>
      <c r="T1457"/>
      <c r="U1457"/>
      <c r="V1457"/>
    </row>
    <row r="1458" spans="1:22" s="53" customFormat="1" x14ac:dyDescent="0.35">
      <c r="A1458" s="2"/>
      <c r="B1458" s="3"/>
      <c r="C1458" s="3"/>
      <c r="D1458" s="3"/>
      <c r="E1458"/>
      <c r="F1458"/>
      <c r="G1458"/>
      <c r="H1458" s="34"/>
      <c r="I1458"/>
      <c r="J1458"/>
      <c r="K1458"/>
      <c r="L1458"/>
      <c r="M1458"/>
      <c r="N1458"/>
      <c r="O1458"/>
      <c r="P1458"/>
      <c r="Q1458"/>
      <c r="R1458" s="8"/>
      <c r="S1458" s="1"/>
      <c r="T1458"/>
      <c r="U1458"/>
      <c r="V1458"/>
    </row>
    <row r="1459" spans="1:22" s="53" customFormat="1" x14ac:dyDescent="0.35">
      <c r="A1459" s="2"/>
      <c r="B1459" s="3"/>
      <c r="C1459" s="3"/>
      <c r="D1459" s="3"/>
      <c r="E1459"/>
      <c r="F1459"/>
      <c r="G1459"/>
      <c r="H1459" s="34"/>
      <c r="I1459"/>
      <c r="J1459"/>
      <c r="K1459"/>
      <c r="L1459"/>
      <c r="M1459"/>
      <c r="N1459"/>
      <c r="O1459"/>
      <c r="P1459"/>
      <c r="Q1459"/>
      <c r="R1459" s="8"/>
      <c r="S1459" s="1"/>
      <c r="T1459"/>
      <c r="U1459"/>
      <c r="V1459"/>
    </row>
    <row r="1460" spans="1:22" s="53" customFormat="1" x14ac:dyDescent="0.35">
      <c r="A1460" s="2"/>
      <c r="B1460" s="3"/>
      <c r="C1460" s="3"/>
      <c r="D1460" s="3"/>
      <c r="E1460"/>
      <c r="F1460"/>
      <c r="G1460"/>
      <c r="H1460" s="34"/>
      <c r="I1460"/>
      <c r="J1460"/>
      <c r="K1460"/>
      <c r="L1460"/>
      <c r="M1460"/>
      <c r="N1460"/>
      <c r="O1460"/>
      <c r="P1460"/>
      <c r="Q1460"/>
      <c r="R1460" s="8"/>
      <c r="S1460" s="1"/>
      <c r="T1460"/>
      <c r="U1460"/>
      <c r="V1460"/>
    </row>
    <row r="1461" spans="1:22" s="53" customFormat="1" x14ac:dyDescent="0.35">
      <c r="A1461" s="2"/>
      <c r="B1461" s="3"/>
      <c r="C1461" s="3"/>
      <c r="D1461" s="3"/>
      <c r="E1461"/>
      <c r="F1461"/>
      <c r="G1461"/>
      <c r="H1461" s="34"/>
      <c r="I1461"/>
      <c r="J1461"/>
      <c r="K1461"/>
      <c r="L1461"/>
      <c r="M1461"/>
      <c r="N1461"/>
      <c r="O1461"/>
      <c r="P1461"/>
      <c r="Q1461"/>
      <c r="R1461" s="8"/>
      <c r="S1461" s="1"/>
      <c r="T1461"/>
      <c r="U1461"/>
      <c r="V1461"/>
    </row>
    <row r="1462" spans="1:22" s="53" customFormat="1" x14ac:dyDescent="0.35">
      <c r="A1462" s="2"/>
      <c r="B1462" s="3"/>
      <c r="C1462" s="3"/>
      <c r="D1462" s="3"/>
      <c r="E1462"/>
      <c r="F1462"/>
      <c r="G1462"/>
      <c r="H1462" s="34"/>
      <c r="I1462"/>
      <c r="J1462"/>
      <c r="K1462"/>
      <c r="L1462"/>
      <c r="M1462"/>
      <c r="N1462"/>
      <c r="O1462"/>
      <c r="P1462"/>
      <c r="Q1462"/>
      <c r="R1462" s="8"/>
      <c r="S1462" s="1"/>
      <c r="T1462"/>
      <c r="U1462"/>
      <c r="V1462"/>
    </row>
    <row r="1463" spans="1:22" s="53" customFormat="1" x14ac:dyDescent="0.35">
      <c r="A1463" s="2"/>
      <c r="B1463" s="3"/>
      <c r="C1463" s="3"/>
      <c r="D1463" s="3"/>
      <c r="E1463"/>
      <c r="F1463"/>
      <c r="G1463"/>
      <c r="H1463" s="34"/>
      <c r="I1463"/>
      <c r="J1463"/>
      <c r="K1463"/>
      <c r="L1463"/>
      <c r="M1463"/>
      <c r="N1463"/>
      <c r="O1463"/>
      <c r="P1463"/>
      <c r="Q1463"/>
      <c r="R1463" s="8"/>
      <c r="S1463" s="1"/>
      <c r="T1463"/>
      <c r="U1463"/>
      <c r="V1463"/>
    </row>
    <row r="1464" spans="1:22" s="53" customFormat="1" x14ac:dyDescent="0.35">
      <c r="A1464" s="2"/>
      <c r="B1464" s="3"/>
      <c r="C1464" s="3"/>
      <c r="D1464" s="3"/>
      <c r="E1464"/>
      <c r="F1464"/>
      <c r="G1464"/>
      <c r="H1464" s="34"/>
      <c r="I1464"/>
      <c r="J1464"/>
      <c r="K1464"/>
      <c r="L1464"/>
      <c r="M1464"/>
      <c r="N1464"/>
      <c r="O1464"/>
      <c r="P1464"/>
      <c r="Q1464"/>
      <c r="R1464" s="8"/>
      <c r="S1464" s="1"/>
      <c r="T1464"/>
      <c r="U1464"/>
      <c r="V1464"/>
    </row>
    <row r="1465" spans="1:22" s="53" customFormat="1" x14ac:dyDescent="0.35">
      <c r="A1465" s="2"/>
      <c r="B1465" s="3"/>
      <c r="C1465" s="3"/>
      <c r="D1465" s="3"/>
      <c r="E1465"/>
      <c r="F1465"/>
      <c r="G1465"/>
      <c r="H1465" s="34"/>
      <c r="I1465"/>
      <c r="J1465"/>
      <c r="K1465"/>
      <c r="L1465"/>
      <c r="M1465"/>
      <c r="N1465"/>
      <c r="O1465"/>
      <c r="P1465"/>
      <c r="Q1465"/>
      <c r="R1465" s="8"/>
      <c r="S1465" s="1"/>
      <c r="T1465"/>
      <c r="U1465"/>
      <c r="V1465"/>
    </row>
    <row r="1466" spans="1:22" s="53" customFormat="1" x14ac:dyDescent="0.35">
      <c r="A1466" s="2"/>
      <c r="B1466" s="3"/>
      <c r="C1466" s="3"/>
      <c r="D1466" s="3"/>
      <c r="E1466"/>
      <c r="F1466"/>
      <c r="G1466"/>
      <c r="H1466" s="34"/>
      <c r="I1466"/>
      <c r="J1466"/>
      <c r="K1466"/>
      <c r="L1466"/>
      <c r="M1466"/>
      <c r="N1466"/>
      <c r="O1466"/>
      <c r="P1466"/>
      <c r="Q1466"/>
      <c r="R1466" s="8"/>
      <c r="S1466" s="1"/>
      <c r="T1466"/>
      <c r="U1466"/>
      <c r="V1466"/>
    </row>
    <row r="1467" spans="1:22" s="53" customFormat="1" x14ac:dyDescent="0.35">
      <c r="A1467" s="2"/>
      <c r="B1467" s="3"/>
      <c r="C1467" s="3"/>
      <c r="D1467" s="3"/>
      <c r="E1467"/>
      <c r="F1467"/>
      <c r="G1467"/>
      <c r="H1467" s="34"/>
      <c r="I1467"/>
      <c r="J1467"/>
      <c r="K1467"/>
      <c r="L1467"/>
      <c r="M1467"/>
      <c r="N1467"/>
      <c r="O1467"/>
      <c r="P1467"/>
      <c r="Q1467"/>
      <c r="R1467" s="8"/>
      <c r="S1467" s="1"/>
      <c r="T1467"/>
      <c r="U1467"/>
      <c r="V1467"/>
    </row>
    <row r="1468" spans="1:22" s="53" customFormat="1" x14ac:dyDescent="0.35">
      <c r="A1468" s="2"/>
      <c r="B1468" s="3"/>
      <c r="C1468" s="3"/>
      <c r="D1468" s="3"/>
      <c r="E1468"/>
      <c r="F1468"/>
      <c r="G1468"/>
      <c r="H1468" s="34"/>
      <c r="I1468"/>
      <c r="J1468"/>
      <c r="K1468"/>
      <c r="L1468"/>
      <c r="M1468"/>
      <c r="N1468"/>
      <c r="O1468"/>
      <c r="P1468"/>
      <c r="Q1468"/>
      <c r="R1468" s="8"/>
      <c r="S1468" s="1"/>
      <c r="T1468"/>
      <c r="U1468"/>
      <c r="V1468"/>
    </row>
    <row r="1469" spans="1:22" s="53" customFormat="1" x14ac:dyDescent="0.35">
      <c r="A1469" s="2"/>
      <c r="B1469" s="3"/>
      <c r="C1469" s="3"/>
      <c r="D1469" s="3"/>
      <c r="E1469"/>
      <c r="F1469"/>
      <c r="G1469"/>
      <c r="H1469" s="34"/>
      <c r="I1469"/>
      <c r="J1469"/>
      <c r="K1469"/>
      <c r="L1469"/>
      <c r="M1469"/>
      <c r="N1469"/>
      <c r="O1469"/>
      <c r="P1469"/>
      <c r="Q1469"/>
      <c r="R1469" s="8"/>
      <c r="S1469" s="1"/>
      <c r="T1469"/>
      <c r="U1469"/>
      <c r="V1469"/>
    </row>
    <row r="1470" spans="1:22" s="53" customFormat="1" x14ac:dyDescent="0.35">
      <c r="A1470" s="2"/>
      <c r="B1470" s="3"/>
      <c r="C1470" s="3"/>
      <c r="D1470" s="3"/>
      <c r="E1470"/>
      <c r="F1470"/>
      <c r="G1470"/>
      <c r="H1470" s="34"/>
      <c r="I1470"/>
      <c r="J1470"/>
      <c r="K1470"/>
      <c r="L1470"/>
      <c r="M1470"/>
      <c r="N1470"/>
      <c r="O1470"/>
      <c r="P1470"/>
      <c r="Q1470"/>
      <c r="R1470" s="8"/>
      <c r="S1470" s="1"/>
      <c r="T1470"/>
      <c r="U1470"/>
      <c r="V1470"/>
    </row>
    <row r="1471" spans="1:22" s="53" customFormat="1" x14ac:dyDescent="0.35">
      <c r="A1471" s="2"/>
      <c r="B1471" s="3"/>
      <c r="C1471" s="3"/>
      <c r="D1471" s="3"/>
      <c r="E1471"/>
      <c r="F1471"/>
      <c r="G1471"/>
      <c r="H1471" s="34"/>
      <c r="I1471"/>
      <c r="J1471"/>
      <c r="K1471"/>
      <c r="L1471"/>
      <c r="M1471"/>
      <c r="N1471"/>
      <c r="O1471"/>
      <c r="P1471"/>
      <c r="Q1471"/>
      <c r="R1471" s="8"/>
      <c r="S1471" s="1"/>
      <c r="T1471"/>
      <c r="U1471"/>
      <c r="V1471"/>
    </row>
    <row r="1472" spans="1:22" s="53" customFormat="1" x14ac:dyDescent="0.35">
      <c r="A1472" s="2"/>
      <c r="B1472" s="3"/>
      <c r="C1472" s="3"/>
      <c r="D1472" s="3"/>
      <c r="E1472"/>
      <c r="F1472"/>
      <c r="G1472"/>
      <c r="H1472" s="34"/>
      <c r="I1472"/>
      <c r="J1472"/>
      <c r="K1472"/>
      <c r="L1472"/>
      <c r="M1472"/>
      <c r="N1472"/>
      <c r="O1472"/>
      <c r="P1472"/>
      <c r="Q1472"/>
      <c r="R1472" s="8"/>
      <c r="S1472" s="1"/>
      <c r="T1472"/>
      <c r="U1472"/>
      <c r="V1472"/>
    </row>
    <row r="1473" spans="1:22" s="53" customFormat="1" x14ac:dyDescent="0.35">
      <c r="A1473" s="2"/>
      <c r="B1473" s="3"/>
      <c r="C1473" s="3"/>
      <c r="D1473" s="3"/>
      <c r="E1473"/>
      <c r="F1473"/>
      <c r="G1473"/>
      <c r="H1473" s="34"/>
      <c r="I1473"/>
      <c r="J1473"/>
      <c r="K1473"/>
      <c r="L1473"/>
      <c r="M1473"/>
      <c r="N1473"/>
      <c r="O1473"/>
      <c r="P1473"/>
      <c r="Q1473"/>
      <c r="R1473" s="8"/>
      <c r="S1473" s="1"/>
      <c r="T1473"/>
      <c r="U1473"/>
      <c r="V1473"/>
    </row>
    <row r="1474" spans="1:22" s="53" customFormat="1" x14ac:dyDescent="0.35">
      <c r="A1474" s="2"/>
      <c r="B1474" s="3"/>
      <c r="C1474" s="3"/>
      <c r="D1474" s="3"/>
      <c r="E1474"/>
      <c r="F1474"/>
      <c r="G1474"/>
      <c r="H1474" s="34"/>
      <c r="I1474"/>
      <c r="J1474"/>
      <c r="K1474"/>
      <c r="L1474"/>
      <c r="M1474"/>
      <c r="N1474"/>
      <c r="O1474"/>
      <c r="P1474"/>
      <c r="Q1474"/>
      <c r="R1474" s="8"/>
      <c r="S1474" s="1"/>
      <c r="T1474"/>
      <c r="U1474"/>
      <c r="V1474"/>
    </row>
    <row r="1475" spans="1:22" s="53" customFormat="1" x14ac:dyDescent="0.35">
      <c r="A1475" s="2"/>
      <c r="B1475" s="3"/>
      <c r="C1475" s="3"/>
      <c r="D1475" s="3"/>
      <c r="E1475"/>
      <c r="F1475"/>
      <c r="G1475"/>
      <c r="H1475" s="34"/>
      <c r="I1475"/>
      <c r="J1475"/>
      <c r="K1475"/>
      <c r="L1475"/>
      <c r="M1475"/>
      <c r="N1475"/>
      <c r="O1475"/>
      <c r="P1475"/>
      <c r="Q1475"/>
      <c r="R1475" s="8"/>
      <c r="S1475" s="1"/>
      <c r="T1475"/>
      <c r="U1475"/>
      <c r="V1475"/>
    </row>
    <row r="1476" spans="1:22" s="53" customFormat="1" x14ac:dyDescent="0.35">
      <c r="A1476" s="2"/>
      <c r="B1476" s="3"/>
      <c r="C1476" s="3"/>
      <c r="D1476" s="3"/>
      <c r="E1476"/>
      <c r="F1476"/>
      <c r="G1476"/>
      <c r="H1476" s="34"/>
      <c r="I1476"/>
      <c r="J1476"/>
      <c r="K1476"/>
      <c r="L1476"/>
      <c r="M1476"/>
      <c r="N1476"/>
      <c r="O1476"/>
      <c r="P1476"/>
      <c r="Q1476"/>
      <c r="R1476" s="8"/>
      <c r="S1476" s="1"/>
      <c r="T1476"/>
      <c r="U1476"/>
      <c r="V1476"/>
    </row>
    <row r="1477" spans="1:22" s="53" customFormat="1" x14ac:dyDescent="0.35">
      <c r="A1477" s="2"/>
      <c r="B1477" s="3"/>
      <c r="C1477" s="3"/>
      <c r="D1477" s="3"/>
      <c r="E1477"/>
      <c r="F1477"/>
      <c r="G1477"/>
      <c r="H1477" s="34"/>
      <c r="I1477"/>
      <c r="J1477"/>
      <c r="K1477"/>
      <c r="L1477"/>
      <c r="M1477"/>
      <c r="N1477"/>
      <c r="O1477"/>
      <c r="P1477"/>
      <c r="Q1477"/>
      <c r="R1477" s="8"/>
      <c r="S1477" s="1"/>
      <c r="T1477"/>
      <c r="U1477"/>
      <c r="V1477"/>
    </row>
    <row r="1478" spans="1:22" s="53" customFormat="1" x14ac:dyDescent="0.35">
      <c r="A1478" s="2"/>
      <c r="B1478" s="3"/>
      <c r="C1478" s="3"/>
      <c r="D1478" s="3"/>
      <c r="E1478"/>
      <c r="F1478"/>
      <c r="G1478"/>
      <c r="H1478" s="34"/>
      <c r="I1478"/>
      <c r="J1478"/>
      <c r="K1478"/>
      <c r="L1478"/>
      <c r="M1478"/>
      <c r="N1478"/>
      <c r="O1478"/>
      <c r="P1478"/>
      <c r="Q1478"/>
      <c r="R1478" s="8"/>
      <c r="S1478" s="1"/>
      <c r="T1478"/>
      <c r="U1478"/>
      <c r="V1478"/>
    </row>
    <row r="1479" spans="1:22" s="53" customFormat="1" x14ac:dyDescent="0.35">
      <c r="A1479" s="2"/>
      <c r="B1479" s="3"/>
      <c r="C1479" s="3"/>
      <c r="D1479" s="3"/>
      <c r="E1479"/>
      <c r="F1479"/>
      <c r="G1479"/>
      <c r="H1479" s="34"/>
      <c r="I1479"/>
      <c r="J1479"/>
      <c r="K1479"/>
      <c r="L1479"/>
      <c r="M1479"/>
      <c r="N1479"/>
      <c r="O1479"/>
      <c r="P1479"/>
      <c r="Q1479"/>
      <c r="R1479" s="8"/>
      <c r="S1479" s="1"/>
      <c r="T1479"/>
      <c r="U1479"/>
      <c r="V1479"/>
    </row>
    <row r="1480" spans="1:22" s="53" customFormat="1" x14ac:dyDescent="0.35">
      <c r="A1480" s="2"/>
      <c r="B1480" s="3"/>
      <c r="C1480" s="3"/>
      <c r="D1480" s="3"/>
      <c r="E1480"/>
      <c r="F1480"/>
      <c r="G1480"/>
      <c r="H1480" s="34"/>
      <c r="I1480"/>
      <c r="J1480"/>
      <c r="K1480"/>
      <c r="L1480"/>
      <c r="M1480"/>
      <c r="N1480"/>
      <c r="O1480"/>
      <c r="P1480"/>
      <c r="Q1480"/>
      <c r="R1480" s="8"/>
      <c r="S1480" s="1"/>
      <c r="T1480"/>
      <c r="U1480"/>
      <c r="V1480"/>
    </row>
    <row r="1481" spans="1:22" s="53" customFormat="1" x14ac:dyDescent="0.35">
      <c r="A1481" s="2"/>
      <c r="B1481" s="3"/>
      <c r="C1481" s="3"/>
      <c r="D1481" s="3"/>
      <c r="E1481"/>
      <c r="F1481"/>
      <c r="G1481"/>
      <c r="H1481" s="34"/>
      <c r="I1481"/>
      <c r="J1481"/>
      <c r="K1481"/>
      <c r="L1481"/>
      <c r="M1481"/>
      <c r="N1481"/>
      <c r="O1481"/>
      <c r="P1481"/>
      <c r="Q1481"/>
      <c r="R1481" s="8"/>
      <c r="S1481" s="1"/>
      <c r="T1481"/>
      <c r="U1481"/>
      <c r="V1481"/>
    </row>
    <row r="1482" spans="1:22" s="53" customFormat="1" x14ac:dyDescent="0.35">
      <c r="A1482" s="2"/>
      <c r="B1482" s="3"/>
      <c r="C1482" s="3"/>
      <c r="D1482" s="3"/>
      <c r="E1482"/>
      <c r="F1482"/>
      <c r="G1482"/>
      <c r="H1482" s="34"/>
      <c r="I1482"/>
      <c r="J1482"/>
      <c r="K1482"/>
      <c r="L1482"/>
      <c r="M1482"/>
      <c r="N1482"/>
      <c r="O1482"/>
      <c r="P1482"/>
      <c r="Q1482"/>
      <c r="R1482" s="8"/>
      <c r="S1482" s="1"/>
      <c r="T1482"/>
      <c r="U1482"/>
      <c r="V1482"/>
    </row>
    <row r="1483" spans="1:22" s="53" customFormat="1" x14ac:dyDescent="0.35">
      <c r="A1483" s="2"/>
      <c r="B1483" s="3"/>
      <c r="C1483" s="3"/>
      <c r="D1483" s="3"/>
      <c r="E1483"/>
      <c r="F1483"/>
      <c r="G1483"/>
      <c r="H1483" s="34"/>
      <c r="I1483"/>
      <c r="J1483"/>
      <c r="K1483"/>
      <c r="L1483"/>
      <c r="M1483"/>
      <c r="N1483"/>
      <c r="O1483"/>
      <c r="P1483"/>
      <c r="Q1483"/>
      <c r="R1483" s="8"/>
      <c r="S1483" s="1"/>
      <c r="T1483"/>
      <c r="U1483"/>
      <c r="V1483"/>
    </row>
    <row r="1484" spans="1:22" s="53" customFormat="1" x14ac:dyDescent="0.35">
      <c r="A1484" s="2"/>
      <c r="B1484" s="3"/>
      <c r="C1484" s="3"/>
      <c r="D1484" s="3"/>
      <c r="E1484"/>
      <c r="F1484"/>
      <c r="G1484"/>
      <c r="H1484" s="34"/>
      <c r="I1484"/>
      <c r="J1484"/>
      <c r="K1484"/>
      <c r="L1484"/>
      <c r="M1484"/>
      <c r="N1484"/>
      <c r="O1484"/>
      <c r="P1484"/>
      <c r="Q1484"/>
      <c r="R1484" s="8"/>
      <c r="S1484" s="1"/>
      <c r="T1484"/>
      <c r="U1484"/>
      <c r="V1484"/>
    </row>
    <row r="1485" spans="1:22" s="53" customFormat="1" x14ac:dyDescent="0.35">
      <c r="A1485" s="2"/>
      <c r="B1485" s="3"/>
      <c r="C1485" s="3"/>
      <c r="D1485" s="3"/>
      <c r="E1485"/>
      <c r="F1485"/>
      <c r="G1485"/>
      <c r="H1485" s="34"/>
      <c r="I1485"/>
      <c r="J1485"/>
      <c r="K1485"/>
      <c r="L1485"/>
      <c r="M1485"/>
      <c r="N1485"/>
      <c r="O1485"/>
      <c r="P1485"/>
      <c r="Q1485"/>
      <c r="R1485" s="8"/>
      <c r="S1485" s="1"/>
      <c r="T1485"/>
      <c r="U1485"/>
      <c r="V1485"/>
    </row>
    <row r="1486" spans="1:22" s="53" customFormat="1" x14ac:dyDescent="0.35">
      <c r="A1486" s="2"/>
      <c r="B1486" s="3"/>
      <c r="C1486" s="3"/>
      <c r="D1486" s="3"/>
      <c r="E1486"/>
      <c r="F1486"/>
      <c r="G1486"/>
      <c r="H1486" s="34"/>
      <c r="I1486"/>
      <c r="J1486"/>
      <c r="K1486"/>
      <c r="L1486"/>
      <c r="M1486"/>
      <c r="N1486"/>
      <c r="O1486"/>
      <c r="P1486"/>
      <c r="Q1486"/>
      <c r="R1486" s="8"/>
      <c r="S1486" s="1"/>
      <c r="T1486"/>
      <c r="U1486"/>
      <c r="V1486"/>
    </row>
    <row r="1487" spans="1:22" s="53" customFormat="1" x14ac:dyDescent="0.35">
      <c r="A1487" s="2"/>
      <c r="B1487" s="3"/>
      <c r="C1487" s="3"/>
      <c r="D1487" s="3"/>
      <c r="E1487"/>
      <c r="F1487"/>
      <c r="G1487"/>
      <c r="H1487" s="34"/>
      <c r="I1487"/>
      <c r="J1487"/>
      <c r="K1487"/>
      <c r="L1487"/>
      <c r="M1487"/>
      <c r="N1487"/>
      <c r="O1487"/>
      <c r="P1487"/>
      <c r="Q1487"/>
      <c r="R1487" s="8"/>
      <c r="S1487" s="1"/>
      <c r="T1487"/>
      <c r="U1487"/>
      <c r="V1487"/>
    </row>
    <row r="1488" spans="1:22" s="53" customFormat="1" x14ac:dyDescent="0.35">
      <c r="A1488" s="2"/>
      <c r="B1488" s="3"/>
      <c r="C1488" s="3"/>
      <c r="D1488" s="3"/>
      <c r="E1488"/>
      <c r="F1488"/>
      <c r="G1488"/>
      <c r="H1488" s="34"/>
      <c r="I1488"/>
      <c r="J1488"/>
      <c r="K1488"/>
      <c r="L1488"/>
      <c r="M1488"/>
      <c r="N1488"/>
      <c r="O1488"/>
      <c r="P1488"/>
      <c r="Q1488"/>
      <c r="R1488" s="8"/>
      <c r="S1488" s="1"/>
      <c r="T1488"/>
      <c r="U1488"/>
      <c r="V1488"/>
    </row>
    <row r="1489" spans="1:22" s="53" customFormat="1" x14ac:dyDescent="0.35">
      <c r="A1489" s="2"/>
      <c r="B1489" s="3"/>
      <c r="C1489" s="3"/>
      <c r="D1489" s="3"/>
      <c r="E1489"/>
      <c r="F1489"/>
      <c r="G1489"/>
      <c r="H1489" s="34"/>
      <c r="I1489"/>
      <c r="J1489"/>
      <c r="K1489"/>
      <c r="L1489"/>
      <c r="M1489"/>
      <c r="N1489"/>
      <c r="O1489"/>
      <c r="P1489"/>
      <c r="Q1489"/>
      <c r="R1489" s="8"/>
      <c r="S1489" s="1"/>
      <c r="T1489"/>
      <c r="U1489"/>
      <c r="V1489"/>
    </row>
    <row r="1490" spans="1:22" s="53" customFormat="1" x14ac:dyDescent="0.35">
      <c r="A1490" s="2"/>
      <c r="B1490" s="3"/>
      <c r="C1490" s="3"/>
      <c r="D1490" s="3"/>
      <c r="E1490"/>
      <c r="F1490"/>
      <c r="G1490"/>
      <c r="H1490" s="34"/>
      <c r="I1490"/>
      <c r="J1490"/>
      <c r="K1490"/>
      <c r="L1490"/>
      <c r="M1490"/>
      <c r="N1490"/>
      <c r="O1490"/>
      <c r="P1490"/>
      <c r="Q1490"/>
      <c r="R1490" s="8"/>
      <c r="S1490" s="1"/>
      <c r="T1490"/>
      <c r="U1490"/>
      <c r="V1490"/>
    </row>
    <row r="1491" spans="1:22" s="53" customFormat="1" x14ac:dyDescent="0.35">
      <c r="A1491" s="2"/>
      <c r="B1491" s="3"/>
      <c r="C1491" s="3"/>
      <c r="D1491" s="3"/>
      <c r="E1491"/>
      <c r="F1491"/>
      <c r="G1491"/>
      <c r="H1491" s="34"/>
      <c r="I1491"/>
      <c r="J1491"/>
      <c r="K1491"/>
      <c r="L1491"/>
      <c r="M1491"/>
      <c r="N1491"/>
      <c r="O1491"/>
      <c r="P1491"/>
      <c r="Q1491"/>
      <c r="R1491" s="8"/>
      <c r="S1491" s="1"/>
      <c r="T1491"/>
      <c r="U1491"/>
      <c r="V1491"/>
    </row>
    <row r="1492" spans="1:22" s="53" customFormat="1" x14ac:dyDescent="0.35">
      <c r="A1492" s="2"/>
      <c r="B1492" s="3"/>
      <c r="C1492" s="3"/>
      <c r="D1492" s="3"/>
      <c r="E1492"/>
      <c r="F1492"/>
      <c r="G1492"/>
      <c r="H1492" s="34"/>
      <c r="I1492"/>
      <c r="J1492"/>
      <c r="K1492"/>
      <c r="L1492"/>
      <c r="M1492"/>
      <c r="N1492"/>
      <c r="O1492"/>
      <c r="P1492"/>
      <c r="Q1492"/>
      <c r="R1492" s="8"/>
      <c r="S1492" s="1"/>
      <c r="T1492"/>
      <c r="U1492"/>
      <c r="V1492"/>
    </row>
    <row r="1493" spans="1:22" s="53" customFormat="1" x14ac:dyDescent="0.35">
      <c r="A1493" s="2"/>
      <c r="B1493" s="3"/>
      <c r="C1493" s="3"/>
      <c r="D1493" s="3"/>
      <c r="E1493"/>
      <c r="F1493"/>
      <c r="G1493"/>
      <c r="H1493" s="34"/>
      <c r="I1493"/>
      <c r="J1493"/>
      <c r="K1493"/>
      <c r="L1493"/>
      <c r="M1493"/>
      <c r="N1493"/>
      <c r="O1493"/>
      <c r="P1493"/>
      <c r="Q1493"/>
      <c r="R1493" s="8"/>
      <c r="S1493" s="1"/>
      <c r="T1493"/>
      <c r="U1493"/>
      <c r="V1493"/>
    </row>
    <row r="1494" spans="1:22" s="53" customFormat="1" x14ac:dyDescent="0.35">
      <c r="A1494" s="2"/>
      <c r="B1494" s="3"/>
      <c r="C1494" s="3"/>
      <c r="D1494" s="3"/>
      <c r="E1494"/>
      <c r="F1494"/>
      <c r="G1494"/>
      <c r="H1494" s="34"/>
      <c r="I1494"/>
      <c r="J1494"/>
      <c r="K1494"/>
      <c r="L1494"/>
      <c r="M1494"/>
      <c r="N1494"/>
      <c r="O1494"/>
      <c r="P1494"/>
      <c r="Q1494"/>
      <c r="R1494" s="8"/>
      <c r="S1494" s="1"/>
      <c r="T1494"/>
      <c r="U1494"/>
      <c r="V1494"/>
    </row>
    <row r="1495" spans="1:22" s="53" customFormat="1" x14ac:dyDescent="0.35">
      <c r="A1495" s="2"/>
      <c r="B1495" s="3"/>
      <c r="C1495" s="3"/>
      <c r="D1495" s="3"/>
      <c r="E1495"/>
      <c r="F1495"/>
      <c r="G1495"/>
      <c r="H1495" s="34"/>
      <c r="I1495"/>
      <c r="J1495"/>
      <c r="K1495"/>
      <c r="L1495"/>
      <c r="M1495"/>
      <c r="N1495"/>
      <c r="O1495"/>
      <c r="P1495"/>
      <c r="Q1495"/>
      <c r="R1495" s="8"/>
      <c r="S1495" s="1"/>
      <c r="T1495"/>
      <c r="U1495"/>
      <c r="V1495"/>
    </row>
    <row r="1496" spans="1:22" s="53" customFormat="1" x14ac:dyDescent="0.35">
      <c r="A1496" s="2"/>
      <c r="B1496" s="3"/>
      <c r="C1496" s="3"/>
      <c r="D1496" s="3"/>
      <c r="E1496"/>
      <c r="F1496"/>
      <c r="G1496"/>
      <c r="H1496" s="34"/>
      <c r="I1496"/>
      <c r="J1496"/>
      <c r="K1496"/>
      <c r="L1496"/>
      <c r="M1496"/>
      <c r="N1496"/>
      <c r="O1496"/>
      <c r="P1496"/>
      <c r="Q1496"/>
      <c r="R1496" s="8"/>
      <c r="S1496" s="1"/>
      <c r="T1496"/>
      <c r="U1496"/>
      <c r="V1496"/>
    </row>
    <row r="1497" spans="1:22" s="53" customFormat="1" x14ac:dyDescent="0.35">
      <c r="A1497" s="2"/>
      <c r="B1497" s="3"/>
      <c r="C1497" s="3"/>
      <c r="D1497" s="3"/>
      <c r="E1497"/>
      <c r="F1497"/>
      <c r="G1497"/>
      <c r="H1497" s="34"/>
      <c r="I1497"/>
      <c r="J1497"/>
      <c r="K1497"/>
      <c r="L1497"/>
      <c r="M1497"/>
      <c r="N1497"/>
      <c r="O1497"/>
      <c r="P1497"/>
      <c r="Q1497"/>
      <c r="R1497" s="8"/>
      <c r="S1497" s="1"/>
      <c r="T1497"/>
      <c r="U1497"/>
      <c r="V1497"/>
    </row>
    <row r="1498" spans="1:22" s="53" customFormat="1" x14ac:dyDescent="0.35">
      <c r="A1498" s="2"/>
      <c r="B1498" s="3"/>
      <c r="C1498" s="3"/>
      <c r="D1498" s="3"/>
      <c r="E1498"/>
      <c r="F1498"/>
      <c r="G1498"/>
      <c r="H1498" s="34"/>
      <c r="I1498"/>
      <c r="J1498"/>
      <c r="K1498"/>
      <c r="L1498"/>
      <c r="M1498"/>
      <c r="N1498"/>
      <c r="O1498"/>
      <c r="P1498"/>
      <c r="Q1498"/>
      <c r="R1498" s="8"/>
      <c r="S1498" s="1"/>
      <c r="T1498"/>
      <c r="U1498"/>
      <c r="V1498"/>
    </row>
    <row r="1499" spans="1:22" s="53" customFormat="1" x14ac:dyDescent="0.35">
      <c r="A1499" s="2"/>
      <c r="B1499" s="3"/>
      <c r="C1499" s="3"/>
      <c r="D1499" s="3"/>
      <c r="E1499"/>
      <c r="F1499"/>
      <c r="G1499"/>
      <c r="H1499" s="34"/>
      <c r="I1499"/>
      <c r="J1499"/>
      <c r="K1499"/>
      <c r="L1499"/>
      <c r="M1499"/>
      <c r="N1499"/>
      <c r="O1499"/>
      <c r="P1499"/>
      <c r="Q1499"/>
      <c r="R1499" s="8"/>
      <c r="S1499" s="1"/>
      <c r="T1499"/>
      <c r="U1499"/>
      <c r="V1499"/>
    </row>
    <row r="1500" spans="1:22" s="53" customFormat="1" x14ac:dyDescent="0.35">
      <c r="A1500" s="2"/>
      <c r="B1500" s="3"/>
      <c r="C1500" s="3"/>
      <c r="D1500" s="3"/>
      <c r="E1500"/>
      <c r="F1500"/>
      <c r="G1500"/>
      <c r="H1500" s="34"/>
      <c r="I1500"/>
      <c r="J1500"/>
      <c r="K1500"/>
      <c r="L1500"/>
      <c r="M1500"/>
      <c r="N1500"/>
      <c r="O1500"/>
      <c r="P1500"/>
      <c r="Q1500"/>
      <c r="R1500" s="8"/>
      <c r="S1500" s="1"/>
      <c r="T1500"/>
      <c r="U1500"/>
      <c r="V1500"/>
    </row>
    <row r="1501" spans="1:22" s="53" customFormat="1" x14ac:dyDescent="0.35">
      <c r="A1501" s="2"/>
      <c r="B1501" s="3"/>
      <c r="C1501" s="3"/>
      <c r="D1501" s="3"/>
      <c r="E1501"/>
      <c r="F1501"/>
      <c r="G1501"/>
      <c r="H1501" s="34"/>
      <c r="I1501"/>
      <c r="J1501"/>
      <c r="K1501"/>
      <c r="L1501"/>
      <c r="M1501"/>
      <c r="N1501"/>
      <c r="O1501"/>
      <c r="P1501"/>
      <c r="Q1501"/>
      <c r="R1501" s="8"/>
      <c r="S1501" s="1"/>
      <c r="T1501"/>
      <c r="U1501"/>
      <c r="V1501"/>
    </row>
    <row r="1502" spans="1:22" s="53" customFormat="1" x14ac:dyDescent="0.35">
      <c r="A1502" s="2"/>
      <c r="B1502" s="3"/>
      <c r="C1502" s="3"/>
      <c r="D1502" s="3"/>
      <c r="E1502"/>
      <c r="F1502"/>
      <c r="G1502"/>
      <c r="H1502" s="34"/>
      <c r="I1502"/>
      <c r="J1502"/>
      <c r="K1502"/>
      <c r="L1502"/>
      <c r="M1502"/>
      <c r="N1502"/>
      <c r="O1502"/>
      <c r="P1502"/>
      <c r="Q1502"/>
      <c r="R1502" s="8"/>
      <c r="S1502" s="1"/>
      <c r="T1502"/>
      <c r="U1502"/>
      <c r="V1502"/>
    </row>
    <row r="1503" spans="1:22" s="53" customFormat="1" x14ac:dyDescent="0.35">
      <c r="A1503" s="2"/>
      <c r="B1503" s="3"/>
      <c r="C1503" s="3"/>
      <c r="D1503" s="3"/>
      <c r="E1503"/>
      <c r="F1503"/>
      <c r="G1503"/>
      <c r="H1503" s="34"/>
      <c r="I1503"/>
      <c r="J1503"/>
      <c r="K1503"/>
      <c r="L1503"/>
      <c r="M1503"/>
      <c r="N1503"/>
      <c r="O1503"/>
      <c r="P1503"/>
      <c r="Q1503"/>
      <c r="R1503" s="8"/>
      <c r="S1503" s="1"/>
      <c r="T1503"/>
      <c r="U1503"/>
      <c r="V1503"/>
    </row>
    <row r="1504" spans="1:22" s="53" customFormat="1" x14ac:dyDescent="0.35">
      <c r="A1504" s="2"/>
      <c r="B1504" s="3"/>
      <c r="C1504" s="3"/>
      <c r="D1504" s="3"/>
      <c r="E1504"/>
      <c r="F1504"/>
      <c r="G1504"/>
      <c r="H1504" s="34"/>
      <c r="I1504"/>
      <c r="J1504"/>
      <c r="K1504"/>
      <c r="L1504"/>
      <c r="M1504"/>
      <c r="N1504"/>
      <c r="O1504"/>
      <c r="P1504"/>
      <c r="Q1504"/>
      <c r="R1504" s="8"/>
      <c r="S1504" s="1"/>
      <c r="T1504"/>
      <c r="U1504"/>
      <c r="V1504"/>
    </row>
    <row r="1505" spans="1:22" s="53" customFormat="1" x14ac:dyDescent="0.35">
      <c r="A1505" s="2"/>
      <c r="B1505" s="3"/>
      <c r="C1505" s="3"/>
      <c r="D1505" s="3"/>
      <c r="E1505"/>
      <c r="F1505"/>
      <c r="G1505"/>
      <c r="H1505" s="34"/>
      <c r="I1505"/>
      <c r="J1505"/>
      <c r="K1505"/>
      <c r="L1505"/>
      <c r="M1505"/>
      <c r="N1505"/>
      <c r="O1505"/>
      <c r="P1505"/>
      <c r="Q1505"/>
      <c r="R1505" s="8"/>
      <c r="S1505" s="1"/>
      <c r="T1505"/>
      <c r="U1505"/>
      <c r="V1505"/>
    </row>
    <row r="1506" spans="1:22" s="53" customFormat="1" x14ac:dyDescent="0.35">
      <c r="A1506" s="2"/>
      <c r="B1506" s="3"/>
      <c r="C1506" s="3"/>
      <c r="D1506" s="3"/>
      <c r="E1506"/>
      <c r="F1506"/>
      <c r="G1506"/>
      <c r="H1506" s="34"/>
      <c r="I1506"/>
      <c r="J1506"/>
      <c r="K1506"/>
      <c r="L1506"/>
      <c r="M1506"/>
      <c r="N1506"/>
      <c r="O1506"/>
      <c r="P1506"/>
      <c r="Q1506"/>
      <c r="R1506" s="8"/>
      <c r="S1506" s="1"/>
      <c r="T1506"/>
      <c r="U1506"/>
      <c r="V1506"/>
    </row>
    <row r="1507" spans="1:22" s="53" customFormat="1" x14ac:dyDescent="0.35">
      <c r="A1507" s="2"/>
      <c r="B1507" s="3"/>
      <c r="C1507" s="3"/>
      <c r="D1507" s="3"/>
      <c r="E1507"/>
      <c r="F1507"/>
      <c r="G1507"/>
      <c r="H1507" s="34"/>
      <c r="I1507"/>
      <c r="J1507"/>
      <c r="K1507"/>
      <c r="L1507"/>
      <c r="M1507"/>
      <c r="N1507"/>
      <c r="O1507"/>
      <c r="P1507"/>
      <c r="Q1507"/>
      <c r="R1507" s="8"/>
      <c r="S1507" s="1"/>
      <c r="T1507"/>
      <c r="U1507"/>
      <c r="V1507"/>
    </row>
    <row r="1508" spans="1:22" s="53" customFormat="1" x14ac:dyDescent="0.35">
      <c r="A1508" s="2"/>
      <c r="B1508" s="3"/>
      <c r="C1508" s="3"/>
      <c r="D1508" s="3"/>
      <c r="E1508"/>
      <c r="F1508"/>
      <c r="G1508"/>
      <c r="H1508" s="34"/>
      <c r="I1508"/>
      <c r="J1508"/>
      <c r="K1508"/>
      <c r="L1508"/>
      <c r="M1508"/>
      <c r="N1508"/>
      <c r="O1508"/>
      <c r="P1508"/>
      <c r="Q1508"/>
      <c r="R1508" s="8"/>
      <c r="S1508" s="1"/>
      <c r="T1508"/>
      <c r="U1508"/>
      <c r="V1508"/>
    </row>
    <row r="1509" spans="1:22" s="53" customFormat="1" x14ac:dyDescent="0.35">
      <c r="A1509" s="2"/>
      <c r="B1509" s="3"/>
      <c r="C1509" s="3"/>
      <c r="D1509" s="3"/>
      <c r="E1509"/>
      <c r="F1509"/>
      <c r="G1509"/>
      <c r="H1509" s="34"/>
      <c r="I1509"/>
      <c r="J1509"/>
      <c r="K1509"/>
      <c r="L1509"/>
      <c r="M1509"/>
      <c r="N1509"/>
      <c r="O1509"/>
      <c r="P1509"/>
      <c r="Q1509"/>
      <c r="R1509" s="8"/>
      <c r="S1509" s="1"/>
      <c r="T1509"/>
      <c r="U1509"/>
      <c r="V1509"/>
    </row>
    <row r="1510" spans="1:22" s="53" customFormat="1" x14ac:dyDescent="0.35">
      <c r="A1510" s="2"/>
      <c r="B1510" s="3"/>
      <c r="C1510" s="3"/>
      <c r="D1510" s="3"/>
      <c r="E1510"/>
      <c r="F1510"/>
      <c r="G1510"/>
      <c r="H1510" s="34"/>
      <c r="I1510"/>
      <c r="J1510"/>
      <c r="K1510"/>
      <c r="L1510"/>
      <c r="M1510"/>
      <c r="N1510"/>
      <c r="O1510"/>
      <c r="P1510"/>
      <c r="Q1510"/>
      <c r="R1510" s="8"/>
      <c r="S1510" s="1"/>
      <c r="T1510"/>
      <c r="U1510"/>
      <c r="V1510"/>
    </row>
    <row r="1511" spans="1:22" s="53" customFormat="1" x14ac:dyDescent="0.35">
      <c r="A1511" s="2"/>
      <c r="B1511" s="3"/>
      <c r="C1511" s="3"/>
      <c r="D1511" s="3"/>
      <c r="E1511"/>
      <c r="F1511"/>
      <c r="G1511"/>
      <c r="H1511" s="34"/>
      <c r="I1511"/>
      <c r="J1511"/>
      <c r="K1511"/>
      <c r="L1511"/>
      <c r="M1511"/>
      <c r="N1511"/>
      <c r="O1511"/>
      <c r="P1511"/>
      <c r="Q1511"/>
      <c r="R1511" s="8"/>
      <c r="S1511" s="1"/>
      <c r="T1511"/>
      <c r="U1511"/>
      <c r="V1511"/>
    </row>
    <row r="1512" spans="1:22" s="53" customFormat="1" x14ac:dyDescent="0.35">
      <c r="A1512" s="2"/>
      <c r="B1512" s="3"/>
      <c r="C1512" s="3"/>
      <c r="D1512" s="3"/>
      <c r="E1512"/>
      <c r="F1512"/>
      <c r="G1512"/>
      <c r="H1512" s="34"/>
      <c r="I1512"/>
      <c r="J1512"/>
      <c r="K1512"/>
      <c r="L1512"/>
      <c r="M1512"/>
      <c r="N1512"/>
      <c r="O1512"/>
      <c r="P1512"/>
      <c r="Q1512"/>
      <c r="R1512" s="8"/>
      <c r="S1512" s="1"/>
      <c r="T1512"/>
      <c r="U1512"/>
      <c r="V1512"/>
    </row>
    <row r="1513" spans="1:22" s="53" customFormat="1" x14ac:dyDescent="0.35">
      <c r="A1513" s="2"/>
      <c r="B1513" s="3"/>
      <c r="C1513" s="3"/>
      <c r="D1513" s="3"/>
      <c r="E1513"/>
      <c r="F1513"/>
      <c r="G1513"/>
      <c r="H1513" s="34"/>
      <c r="I1513"/>
      <c r="J1513"/>
      <c r="K1513"/>
      <c r="L1513"/>
      <c r="M1513"/>
      <c r="N1513"/>
      <c r="O1513"/>
      <c r="P1513"/>
      <c r="Q1513"/>
      <c r="R1513" s="8"/>
      <c r="S1513" s="1"/>
      <c r="T1513"/>
      <c r="U1513"/>
      <c r="V1513"/>
    </row>
    <row r="1514" spans="1:22" s="53" customFormat="1" x14ac:dyDescent="0.35">
      <c r="A1514" s="2"/>
      <c r="B1514" s="3"/>
      <c r="C1514" s="3"/>
      <c r="D1514" s="3"/>
      <c r="E1514"/>
      <c r="F1514"/>
      <c r="G1514"/>
      <c r="H1514" s="34"/>
      <c r="I1514"/>
      <c r="J1514"/>
      <c r="K1514"/>
      <c r="L1514"/>
      <c r="M1514"/>
      <c r="N1514"/>
      <c r="O1514"/>
      <c r="P1514"/>
      <c r="Q1514"/>
      <c r="R1514" s="8"/>
      <c r="S1514" s="1"/>
      <c r="T1514"/>
      <c r="U1514"/>
      <c r="V1514"/>
    </row>
    <row r="1515" spans="1:22" s="53" customFormat="1" x14ac:dyDescent="0.35">
      <c r="A1515" s="2"/>
      <c r="B1515" s="3"/>
      <c r="C1515" s="3"/>
      <c r="D1515" s="3"/>
      <c r="E1515"/>
      <c r="F1515"/>
      <c r="G1515"/>
      <c r="H1515" s="34"/>
      <c r="I1515"/>
      <c r="J1515"/>
      <c r="K1515"/>
      <c r="L1515"/>
      <c r="M1515"/>
      <c r="N1515"/>
      <c r="O1515"/>
      <c r="P1515"/>
      <c r="Q1515"/>
      <c r="R1515" s="8"/>
      <c r="S1515" s="1"/>
      <c r="T1515"/>
      <c r="U1515"/>
      <c r="V1515"/>
    </row>
    <row r="1516" spans="1:22" s="53" customFormat="1" x14ac:dyDescent="0.35">
      <c r="A1516" s="2"/>
      <c r="B1516" s="3"/>
      <c r="C1516" s="3"/>
      <c r="D1516" s="3"/>
      <c r="E1516"/>
      <c r="F1516"/>
      <c r="G1516"/>
      <c r="H1516" s="34"/>
      <c r="I1516"/>
      <c r="J1516"/>
      <c r="K1516"/>
      <c r="L1516"/>
      <c r="M1516"/>
      <c r="N1516"/>
      <c r="O1516"/>
      <c r="P1516"/>
      <c r="Q1516"/>
      <c r="R1516" s="8"/>
      <c r="S1516" s="1"/>
      <c r="T1516"/>
      <c r="U1516"/>
      <c r="V1516"/>
    </row>
    <row r="1517" spans="1:22" s="53" customFormat="1" x14ac:dyDescent="0.35">
      <c r="A1517" s="2"/>
      <c r="B1517" s="3"/>
      <c r="C1517" s="3"/>
      <c r="D1517" s="3"/>
      <c r="E1517"/>
      <c r="F1517"/>
      <c r="G1517"/>
      <c r="H1517" s="34"/>
      <c r="I1517"/>
      <c r="J1517"/>
      <c r="K1517"/>
      <c r="L1517"/>
      <c r="M1517"/>
      <c r="N1517"/>
      <c r="O1517"/>
      <c r="P1517"/>
      <c r="Q1517"/>
      <c r="R1517" s="8"/>
      <c r="S1517" s="1"/>
      <c r="T1517"/>
      <c r="U1517"/>
      <c r="V1517"/>
    </row>
    <row r="1518" spans="1:22" s="53" customFormat="1" x14ac:dyDescent="0.35">
      <c r="A1518" s="2"/>
      <c r="B1518" s="3"/>
      <c r="C1518" s="3"/>
      <c r="D1518" s="3"/>
      <c r="E1518"/>
      <c r="F1518"/>
      <c r="G1518"/>
      <c r="H1518" s="34"/>
      <c r="I1518"/>
      <c r="J1518"/>
      <c r="K1518"/>
      <c r="L1518"/>
      <c r="M1518"/>
      <c r="N1518"/>
      <c r="O1518"/>
      <c r="P1518"/>
      <c r="Q1518"/>
      <c r="R1518" s="8"/>
      <c r="S1518" s="1"/>
      <c r="T1518"/>
      <c r="U1518"/>
      <c r="V1518"/>
    </row>
    <row r="1519" spans="1:22" s="53" customFormat="1" x14ac:dyDescent="0.35">
      <c r="A1519" s="2"/>
      <c r="B1519" s="3"/>
      <c r="C1519" s="3"/>
      <c r="D1519" s="3"/>
      <c r="E1519"/>
      <c r="F1519"/>
      <c r="G1519"/>
      <c r="H1519" s="34"/>
      <c r="I1519"/>
      <c r="J1519"/>
      <c r="K1519"/>
      <c r="L1519"/>
      <c r="M1519"/>
      <c r="N1519"/>
      <c r="O1519"/>
      <c r="P1519"/>
      <c r="Q1519"/>
      <c r="R1519" s="8"/>
      <c r="S1519" s="1"/>
      <c r="T1519"/>
      <c r="U1519"/>
      <c r="V1519"/>
    </row>
    <row r="1520" spans="1:22" s="53" customFormat="1" x14ac:dyDescent="0.35">
      <c r="A1520" s="2"/>
      <c r="B1520" s="3"/>
      <c r="C1520" s="3"/>
      <c r="D1520" s="3"/>
      <c r="E1520"/>
      <c r="F1520"/>
      <c r="G1520"/>
      <c r="H1520" s="34"/>
      <c r="I1520"/>
      <c r="J1520"/>
      <c r="K1520"/>
      <c r="L1520"/>
      <c r="M1520"/>
      <c r="N1520"/>
      <c r="O1520"/>
      <c r="P1520"/>
      <c r="Q1520"/>
      <c r="R1520" s="8"/>
      <c r="S1520" s="1"/>
      <c r="T1520"/>
      <c r="U1520"/>
      <c r="V1520"/>
    </row>
    <row r="1521" spans="1:22" s="53" customFormat="1" x14ac:dyDescent="0.35">
      <c r="A1521" s="2"/>
      <c r="B1521" s="3"/>
      <c r="C1521" s="3"/>
      <c r="D1521" s="3"/>
      <c r="E1521"/>
      <c r="F1521"/>
      <c r="G1521"/>
      <c r="H1521" s="34"/>
      <c r="I1521"/>
      <c r="J1521"/>
      <c r="K1521"/>
      <c r="L1521"/>
      <c r="M1521"/>
      <c r="N1521"/>
      <c r="O1521"/>
      <c r="P1521"/>
      <c r="Q1521"/>
      <c r="R1521" s="8"/>
      <c r="S1521" s="1"/>
      <c r="T1521"/>
      <c r="U1521"/>
      <c r="V1521"/>
    </row>
    <row r="1522" spans="1:22" s="53" customFormat="1" x14ac:dyDescent="0.35">
      <c r="A1522" s="2"/>
      <c r="B1522" s="3"/>
      <c r="C1522" s="3"/>
      <c r="D1522" s="3"/>
      <c r="E1522"/>
      <c r="F1522"/>
      <c r="G1522"/>
      <c r="H1522" s="34"/>
      <c r="I1522"/>
      <c r="J1522"/>
      <c r="K1522"/>
      <c r="L1522"/>
      <c r="M1522"/>
      <c r="N1522"/>
      <c r="O1522"/>
      <c r="P1522"/>
      <c r="Q1522"/>
      <c r="R1522" s="8"/>
      <c r="S1522" s="1"/>
      <c r="T1522"/>
      <c r="U1522"/>
      <c r="V1522"/>
    </row>
    <row r="1523" spans="1:22" s="53" customFormat="1" x14ac:dyDescent="0.35">
      <c r="A1523" s="2"/>
      <c r="B1523" s="3"/>
      <c r="C1523" s="3"/>
      <c r="D1523" s="3"/>
      <c r="E1523"/>
      <c r="F1523"/>
      <c r="G1523"/>
      <c r="H1523" s="34"/>
      <c r="I1523"/>
      <c r="J1523"/>
      <c r="K1523"/>
      <c r="L1523"/>
      <c r="M1523"/>
      <c r="N1523"/>
      <c r="O1523"/>
      <c r="P1523"/>
      <c r="Q1523"/>
      <c r="R1523" s="8"/>
      <c r="S1523" s="1"/>
      <c r="T1523"/>
      <c r="U1523"/>
      <c r="V1523"/>
    </row>
    <row r="1524" spans="1:22" s="53" customFormat="1" x14ac:dyDescent="0.35">
      <c r="A1524" s="2"/>
      <c r="B1524" s="3"/>
      <c r="C1524" s="3"/>
      <c r="D1524" s="3"/>
      <c r="E1524"/>
      <c r="F1524"/>
      <c r="G1524"/>
      <c r="H1524" s="34"/>
      <c r="I1524"/>
      <c r="J1524"/>
      <c r="K1524"/>
      <c r="L1524"/>
      <c r="M1524"/>
      <c r="N1524"/>
      <c r="O1524"/>
      <c r="P1524"/>
      <c r="Q1524"/>
      <c r="R1524" s="8"/>
      <c r="S1524" s="1"/>
      <c r="T1524"/>
      <c r="U1524"/>
      <c r="V1524"/>
    </row>
    <row r="1525" spans="1:22" s="53" customFormat="1" x14ac:dyDescent="0.35">
      <c r="A1525" s="2"/>
      <c r="B1525" s="3"/>
      <c r="C1525" s="3"/>
      <c r="D1525" s="3"/>
      <c r="E1525"/>
      <c r="F1525"/>
      <c r="G1525"/>
      <c r="H1525" s="34"/>
      <c r="I1525"/>
      <c r="J1525"/>
      <c r="K1525"/>
      <c r="L1525"/>
      <c r="M1525"/>
      <c r="N1525"/>
      <c r="O1525"/>
      <c r="P1525"/>
      <c r="Q1525"/>
      <c r="R1525" s="8"/>
      <c r="S1525" s="1"/>
      <c r="T1525"/>
      <c r="U1525"/>
      <c r="V1525"/>
    </row>
    <row r="1526" spans="1:22" s="53" customFormat="1" x14ac:dyDescent="0.35">
      <c r="A1526" s="2"/>
      <c r="B1526" s="3"/>
      <c r="C1526" s="3"/>
      <c r="D1526" s="3"/>
      <c r="E1526"/>
      <c r="F1526"/>
      <c r="G1526"/>
      <c r="H1526" s="34"/>
      <c r="I1526"/>
      <c r="J1526"/>
      <c r="K1526"/>
      <c r="L1526"/>
      <c r="M1526"/>
      <c r="N1526"/>
      <c r="O1526"/>
      <c r="P1526"/>
      <c r="Q1526"/>
      <c r="R1526" s="8"/>
      <c r="S1526" s="1"/>
      <c r="T1526"/>
      <c r="U1526"/>
      <c r="V1526"/>
    </row>
    <row r="1527" spans="1:22" s="53" customFormat="1" x14ac:dyDescent="0.35">
      <c r="A1527" s="2"/>
      <c r="B1527" s="3"/>
      <c r="C1527" s="3"/>
      <c r="D1527" s="3"/>
      <c r="E1527"/>
      <c r="F1527"/>
      <c r="G1527"/>
      <c r="H1527" s="34"/>
      <c r="I1527"/>
      <c r="J1527"/>
      <c r="K1527"/>
      <c r="L1527"/>
      <c r="M1527"/>
      <c r="N1527"/>
      <c r="O1527"/>
      <c r="P1527"/>
      <c r="Q1527"/>
      <c r="R1527" s="8"/>
      <c r="S1527" s="1"/>
      <c r="T1527"/>
      <c r="U1527"/>
      <c r="V1527"/>
    </row>
    <row r="1528" spans="1:22" s="53" customFormat="1" x14ac:dyDescent="0.35">
      <c r="A1528" s="2"/>
      <c r="B1528" s="3"/>
      <c r="C1528" s="3"/>
      <c r="D1528" s="3"/>
      <c r="E1528"/>
      <c r="F1528"/>
      <c r="G1528"/>
      <c r="H1528" s="34"/>
      <c r="I1528"/>
      <c r="J1528"/>
      <c r="K1528"/>
      <c r="L1528"/>
      <c r="M1528"/>
      <c r="N1528"/>
      <c r="O1528"/>
      <c r="P1528"/>
      <c r="Q1528"/>
      <c r="R1528" s="8"/>
      <c r="S1528" s="1"/>
      <c r="T1528"/>
      <c r="U1528"/>
      <c r="V1528"/>
    </row>
    <row r="1529" spans="1:22" s="53" customFormat="1" x14ac:dyDescent="0.35">
      <c r="A1529" s="2"/>
      <c r="B1529" s="3"/>
      <c r="C1529" s="3"/>
      <c r="D1529" s="3"/>
      <c r="E1529"/>
      <c r="F1529"/>
      <c r="G1529"/>
      <c r="H1529" s="34"/>
      <c r="I1529"/>
      <c r="J1529"/>
      <c r="K1529"/>
      <c r="L1529"/>
      <c r="M1529"/>
      <c r="N1529"/>
      <c r="O1529"/>
      <c r="P1529"/>
      <c r="Q1529"/>
      <c r="R1529" s="8"/>
      <c r="S1529" s="1"/>
      <c r="T1529"/>
      <c r="U1529"/>
      <c r="V1529"/>
    </row>
    <row r="1530" spans="1:22" s="53" customFormat="1" x14ac:dyDescent="0.35">
      <c r="A1530" s="2"/>
      <c r="B1530" s="3"/>
      <c r="C1530" s="3"/>
      <c r="D1530" s="3"/>
      <c r="E1530"/>
      <c r="F1530"/>
      <c r="G1530"/>
      <c r="H1530" s="34"/>
      <c r="I1530"/>
      <c r="J1530"/>
      <c r="K1530"/>
      <c r="L1530"/>
      <c r="M1530"/>
      <c r="N1530"/>
      <c r="O1530"/>
      <c r="P1530"/>
      <c r="Q1530"/>
      <c r="R1530" s="8"/>
      <c r="S1530" s="1"/>
      <c r="T1530"/>
      <c r="U1530"/>
      <c r="V1530"/>
    </row>
    <row r="1531" spans="1:22" s="53" customFormat="1" x14ac:dyDescent="0.35">
      <c r="A1531" s="2"/>
      <c r="B1531" s="3"/>
      <c r="C1531" s="3"/>
      <c r="D1531" s="3"/>
      <c r="E1531"/>
      <c r="F1531"/>
      <c r="G1531"/>
      <c r="H1531" s="34"/>
      <c r="I1531"/>
      <c r="J1531"/>
      <c r="K1531"/>
      <c r="L1531"/>
      <c r="M1531"/>
      <c r="N1531"/>
      <c r="O1531"/>
      <c r="P1531"/>
      <c r="Q1531"/>
      <c r="R1531" s="8"/>
      <c r="S1531" s="1"/>
      <c r="T1531"/>
      <c r="U1531"/>
      <c r="V1531"/>
    </row>
    <row r="1532" spans="1:22" s="53" customFormat="1" x14ac:dyDescent="0.35">
      <c r="A1532" s="2"/>
      <c r="B1532" s="3"/>
      <c r="C1532" s="3"/>
      <c r="D1532" s="3"/>
      <c r="E1532"/>
      <c r="F1532"/>
      <c r="G1532"/>
      <c r="H1532" s="34"/>
      <c r="I1532"/>
      <c r="J1532"/>
      <c r="K1532"/>
      <c r="L1532"/>
      <c r="M1532"/>
      <c r="N1532"/>
      <c r="O1532"/>
      <c r="P1532"/>
      <c r="Q1532"/>
      <c r="R1532" s="8"/>
      <c r="S1532" s="1"/>
      <c r="T1532"/>
      <c r="U1532"/>
      <c r="V1532"/>
    </row>
    <row r="1533" spans="1:22" s="53" customFormat="1" x14ac:dyDescent="0.35">
      <c r="A1533" s="2"/>
      <c r="B1533" s="3"/>
      <c r="C1533" s="3"/>
      <c r="D1533" s="3"/>
      <c r="E1533"/>
      <c r="F1533"/>
      <c r="G1533"/>
      <c r="H1533" s="34"/>
      <c r="I1533"/>
      <c r="J1533"/>
      <c r="K1533"/>
      <c r="L1533"/>
      <c r="M1533"/>
      <c r="N1533"/>
      <c r="O1533"/>
      <c r="P1533"/>
      <c r="Q1533"/>
      <c r="R1533" s="8"/>
      <c r="S1533" s="1"/>
      <c r="T1533"/>
      <c r="U1533"/>
      <c r="V1533"/>
    </row>
    <row r="1534" spans="1:22" s="53" customFormat="1" x14ac:dyDescent="0.35">
      <c r="A1534" s="2"/>
      <c r="B1534" s="3"/>
      <c r="C1534" s="3"/>
      <c r="D1534" s="3"/>
      <c r="E1534"/>
      <c r="F1534"/>
      <c r="G1534"/>
      <c r="H1534" s="34"/>
      <c r="I1534"/>
      <c r="J1534"/>
      <c r="K1534"/>
      <c r="L1534"/>
      <c r="M1534"/>
      <c r="N1534"/>
      <c r="O1534"/>
      <c r="P1534"/>
      <c r="Q1534"/>
      <c r="R1534" s="8"/>
      <c r="S1534" s="1"/>
      <c r="T1534"/>
      <c r="U1534"/>
      <c r="V1534"/>
    </row>
    <row r="1535" spans="1:22" s="53" customFormat="1" x14ac:dyDescent="0.35">
      <c r="A1535" s="2"/>
      <c r="B1535" s="3"/>
      <c r="C1535" s="3"/>
      <c r="D1535" s="3"/>
      <c r="E1535"/>
      <c r="F1535"/>
      <c r="G1535"/>
      <c r="H1535" s="34"/>
      <c r="I1535"/>
      <c r="J1535"/>
      <c r="K1535"/>
      <c r="L1535"/>
      <c r="M1535"/>
      <c r="N1535"/>
      <c r="O1535"/>
      <c r="P1535"/>
      <c r="Q1535"/>
      <c r="R1535" s="8"/>
      <c r="S1535" s="1"/>
      <c r="T1535"/>
      <c r="U1535"/>
      <c r="V1535"/>
    </row>
    <row r="1536" spans="1:22" s="53" customFormat="1" x14ac:dyDescent="0.35">
      <c r="A1536" s="2"/>
      <c r="B1536" s="3"/>
      <c r="C1536" s="3"/>
      <c r="D1536" s="3"/>
      <c r="E1536"/>
      <c r="F1536"/>
      <c r="G1536"/>
      <c r="H1536" s="34"/>
      <c r="I1536"/>
      <c r="J1536"/>
      <c r="K1536"/>
      <c r="L1536"/>
      <c r="M1536"/>
      <c r="N1536"/>
      <c r="O1536"/>
      <c r="P1536"/>
      <c r="Q1536"/>
      <c r="R1536" s="8"/>
      <c r="S1536" s="1"/>
      <c r="T1536"/>
      <c r="U1536"/>
      <c r="V1536"/>
    </row>
    <row r="1537" spans="1:22" s="53" customFormat="1" x14ac:dyDescent="0.35">
      <c r="A1537" s="2"/>
      <c r="B1537" s="3"/>
      <c r="C1537" s="3"/>
      <c r="D1537" s="3"/>
      <c r="E1537"/>
      <c r="F1537"/>
      <c r="G1537"/>
      <c r="H1537" s="34"/>
      <c r="I1537"/>
      <c r="J1537"/>
      <c r="K1537"/>
      <c r="L1537"/>
      <c r="M1537"/>
      <c r="N1537"/>
      <c r="O1537"/>
      <c r="P1537"/>
      <c r="Q1537"/>
      <c r="R1537" s="8"/>
      <c r="S1537" s="1"/>
      <c r="T1537"/>
      <c r="U1537"/>
      <c r="V1537"/>
    </row>
    <row r="1538" spans="1:22" s="53" customFormat="1" x14ac:dyDescent="0.35">
      <c r="A1538" s="2"/>
      <c r="B1538" s="3"/>
      <c r="C1538" s="3"/>
      <c r="D1538" s="3"/>
      <c r="E1538"/>
      <c r="F1538"/>
      <c r="G1538"/>
      <c r="H1538" s="34"/>
      <c r="I1538"/>
      <c r="J1538"/>
      <c r="K1538"/>
      <c r="L1538"/>
      <c r="M1538"/>
      <c r="N1538"/>
      <c r="O1538"/>
      <c r="P1538"/>
      <c r="Q1538"/>
      <c r="R1538" s="8"/>
      <c r="S1538" s="1"/>
      <c r="T1538"/>
      <c r="U1538"/>
      <c r="V1538"/>
    </row>
    <row r="1539" spans="1:22" s="53" customFormat="1" x14ac:dyDescent="0.35">
      <c r="A1539" s="2"/>
      <c r="B1539" s="3"/>
      <c r="C1539" s="3"/>
      <c r="D1539" s="3"/>
      <c r="E1539"/>
      <c r="F1539"/>
      <c r="G1539"/>
      <c r="H1539" s="34"/>
      <c r="I1539"/>
      <c r="J1539"/>
      <c r="K1539"/>
      <c r="L1539"/>
      <c r="M1539"/>
      <c r="N1539"/>
      <c r="O1539"/>
      <c r="P1539"/>
      <c r="Q1539"/>
      <c r="R1539" s="8"/>
      <c r="S1539" s="1"/>
      <c r="T1539"/>
      <c r="U1539"/>
      <c r="V1539"/>
    </row>
    <row r="1540" spans="1:22" s="53" customFormat="1" x14ac:dyDescent="0.35">
      <c r="A1540" s="2"/>
      <c r="B1540" s="3"/>
      <c r="C1540" s="3"/>
      <c r="D1540" s="3"/>
      <c r="E1540"/>
      <c r="F1540"/>
      <c r="G1540"/>
      <c r="H1540" s="34"/>
      <c r="I1540"/>
      <c r="J1540"/>
      <c r="K1540"/>
      <c r="L1540"/>
      <c r="M1540"/>
      <c r="N1540"/>
      <c r="O1540"/>
      <c r="P1540"/>
      <c r="Q1540"/>
      <c r="R1540" s="8"/>
      <c r="S1540" s="1"/>
      <c r="T1540"/>
      <c r="U1540"/>
      <c r="V1540"/>
    </row>
    <row r="1541" spans="1:22" s="53" customFormat="1" x14ac:dyDescent="0.35">
      <c r="A1541" s="2"/>
      <c r="B1541" s="3"/>
      <c r="C1541" s="3"/>
      <c r="D1541" s="3"/>
      <c r="E1541"/>
      <c r="F1541"/>
      <c r="G1541"/>
      <c r="H1541" s="34"/>
      <c r="I1541"/>
      <c r="J1541"/>
      <c r="K1541"/>
      <c r="L1541"/>
      <c r="M1541"/>
      <c r="N1541"/>
      <c r="O1541"/>
      <c r="P1541"/>
      <c r="Q1541"/>
      <c r="R1541" s="8"/>
      <c r="S1541" s="1"/>
      <c r="T1541"/>
      <c r="U1541"/>
      <c r="V1541"/>
    </row>
    <row r="1542" spans="1:22" s="53" customFormat="1" x14ac:dyDescent="0.35">
      <c r="A1542" s="2"/>
      <c r="B1542" s="3"/>
      <c r="C1542" s="3"/>
      <c r="D1542" s="3"/>
      <c r="E1542"/>
      <c r="F1542"/>
      <c r="G1542"/>
      <c r="H1542" s="34"/>
      <c r="I1542"/>
      <c r="J1542"/>
      <c r="K1542"/>
      <c r="L1542"/>
      <c r="M1542"/>
      <c r="N1542"/>
      <c r="O1542"/>
      <c r="P1542"/>
      <c r="Q1542"/>
      <c r="R1542" s="8"/>
      <c r="S1542" s="1"/>
      <c r="T1542"/>
      <c r="U1542"/>
      <c r="V1542"/>
    </row>
    <row r="1543" spans="1:22" s="53" customFormat="1" x14ac:dyDescent="0.35">
      <c r="A1543" s="2"/>
      <c r="B1543" s="3"/>
      <c r="C1543" s="3"/>
      <c r="D1543" s="3"/>
      <c r="E1543"/>
      <c r="F1543"/>
      <c r="G1543"/>
      <c r="H1543" s="34"/>
      <c r="I1543"/>
      <c r="J1543"/>
      <c r="K1543"/>
      <c r="L1543"/>
      <c r="M1543"/>
      <c r="N1543"/>
      <c r="O1543"/>
      <c r="P1543"/>
      <c r="Q1543"/>
      <c r="R1543" s="8"/>
      <c r="S1543" s="1"/>
      <c r="T1543"/>
      <c r="U1543"/>
      <c r="V1543"/>
    </row>
    <row r="1544" spans="1:22" s="53" customFormat="1" x14ac:dyDescent="0.35">
      <c r="A1544" s="2"/>
      <c r="B1544" s="3"/>
      <c r="C1544" s="3"/>
      <c r="D1544" s="3"/>
      <c r="E1544"/>
      <c r="F1544"/>
      <c r="G1544"/>
      <c r="H1544" s="34"/>
      <c r="I1544"/>
      <c r="J1544"/>
      <c r="K1544"/>
      <c r="L1544"/>
      <c r="M1544"/>
      <c r="N1544"/>
      <c r="O1544"/>
      <c r="P1544"/>
      <c r="Q1544"/>
      <c r="R1544" s="8"/>
      <c r="S1544" s="1"/>
      <c r="T1544"/>
      <c r="U1544"/>
      <c r="V1544"/>
    </row>
    <row r="1545" spans="1:22" s="53" customFormat="1" x14ac:dyDescent="0.35">
      <c r="A1545" s="2"/>
      <c r="B1545" s="3"/>
      <c r="C1545" s="3"/>
      <c r="D1545" s="3"/>
      <c r="E1545"/>
      <c r="F1545"/>
      <c r="G1545"/>
      <c r="H1545" s="34"/>
      <c r="I1545"/>
      <c r="J1545"/>
      <c r="K1545"/>
      <c r="L1545"/>
      <c r="M1545"/>
      <c r="N1545"/>
      <c r="O1545"/>
      <c r="P1545"/>
      <c r="Q1545"/>
      <c r="R1545" s="8"/>
      <c r="S1545" s="1"/>
      <c r="T1545"/>
      <c r="U1545"/>
      <c r="V1545"/>
    </row>
    <row r="1546" spans="1:22" s="53" customFormat="1" x14ac:dyDescent="0.35">
      <c r="A1546" s="2"/>
      <c r="B1546" s="3"/>
      <c r="C1546" s="3"/>
      <c r="D1546" s="3"/>
      <c r="E1546"/>
      <c r="F1546"/>
      <c r="G1546"/>
      <c r="H1546" s="34"/>
      <c r="I1546"/>
      <c r="J1546"/>
      <c r="K1546"/>
      <c r="L1546"/>
      <c r="M1546"/>
      <c r="N1546"/>
      <c r="O1546"/>
      <c r="P1546"/>
      <c r="Q1546"/>
      <c r="R1546" s="8"/>
      <c r="S1546" s="1"/>
      <c r="T1546"/>
      <c r="U1546"/>
      <c r="V1546"/>
    </row>
    <row r="1547" spans="1:22" s="53" customFormat="1" x14ac:dyDescent="0.35">
      <c r="A1547" s="2"/>
      <c r="B1547" s="3"/>
      <c r="C1547" s="3"/>
      <c r="D1547" s="3"/>
      <c r="E1547"/>
      <c r="F1547"/>
      <c r="G1547"/>
      <c r="H1547" s="34"/>
      <c r="I1547"/>
      <c r="J1547"/>
      <c r="K1547"/>
      <c r="L1547"/>
      <c r="M1547"/>
      <c r="N1547"/>
      <c r="O1547"/>
      <c r="P1547"/>
      <c r="Q1547"/>
      <c r="R1547" s="8"/>
      <c r="S1547" s="1"/>
      <c r="T1547"/>
      <c r="U1547"/>
      <c r="V1547"/>
    </row>
    <row r="1548" spans="1:22" s="53" customFormat="1" x14ac:dyDescent="0.35">
      <c r="A1548" s="2"/>
      <c r="B1548" s="3"/>
      <c r="C1548" s="3"/>
      <c r="D1548" s="3"/>
      <c r="E1548"/>
      <c r="F1548"/>
      <c r="G1548"/>
      <c r="H1548" s="34"/>
      <c r="I1548"/>
      <c r="J1548"/>
      <c r="K1548"/>
      <c r="L1548"/>
      <c r="M1548"/>
      <c r="N1548"/>
      <c r="O1548"/>
      <c r="P1548"/>
      <c r="Q1548"/>
      <c r="R1548" s="8"/>
      <c r="S1548" s="1"/>
      <c r="T1548"/>
      <c r="U1548"/>
      <c r="V1548"/>
    </row>
    <row r="1549" spans="1:22" s="53" customFormat="1" x14ac:dyDescent="0.35">
      <c r="A1549" s="2"/>
      <c r="B1549" s="3"/>
      <c r="C1549" s="3"/>
      <c r="D1549" s="3"/>
      <c r="E1549"/>
      <c r="F1549"/>
      <c r="G1549"/>
      <c r="H1549" s="34"/>
      <c r="I1549"/>
      <c r="J1549"/>
      <c r="K1549"/>
      <c r="L1549"/>
      <c r="M1549"/>
      <c r="N1549"/>
      <c r="O1549"/>
      <c r="P1549"/>
      <c r="Q1549"/>
      <c r="R1549" s="8"/>
      <c r="S1549" s="1"/>
      <c r="T1549"/>
      <c r="U1549"/>
      <c r="V1549"/>
    </row>
    <row r="1550" spans="1:22" s="53" customFormat="1" x14ac:dyDescent="0.35">
      <c r="A1550" s="2"/>
      <c r="B1550" s="3"/>
      <c r="C1550" s="3"/>
      <c r="D1550" s="3"/>
      <c r="E1550"/>
      <c r="F1550"/>
      <c r="G1550"/>
      <c r="H1550" s="34"/>
      <c r="I1550"/>
      <c r="J1550"/>
      <c r="K1550"/>
      <c r="L1550"/>
      <c r="M1550"/>
      <c r="N1550"/>
      <c r="O1550"/>
      <c r="P1550"/>
      <c r="Q1550"/>
      <c r="R1550" s="8"/>
      <c r="S1550" s="1"/>
      <c r="T1550"/>
      <c r="U1550"/>
      <c r="V1550"/>
    </row>
    <row r="1551" spans="1:22" s="53" customFormat="1" x14ac:dyDescent="0.35">
      <c r="A1551" s="2"/>
      <c r="B1551" s="3"/>
      <c r="C1551" s="3"/>
      <c r="D1551" s="3"/>
      <c r="E1551"/>
      <c r="F1551"/>
      <c r="G1551"/>
      <c r="H1551" s="34"/>
      <c r="I1551"/>
      <c r="J1551"/>
      <c r="K1551"/>
      <c r="L1551"/>
      <c r="M1551"/>
      <c r="N1551"/>
      <c r="O1551"/>
      <c r="P1551"/>
      <c r="Q1551"/>
      <c r="R1551" s="8"/>
      <c r="S1551" s="1"/>
      <c r="T1551"/>
      <c r="U1551"/>
      <c r="V1551"/>
    </row>
    <row r="1552" spans="1:22" s="53" customFormat="1" x14ac:dyDescent="0.35">
      <c r="A1552" s="2"/>
      <c r="B1552" s="3"/>
      <c r="C1552" s="3"/>
      <c r="D1552" s="3"/>
      <c r="E1552"/>
      <c r="F1552"/>
      <c r="G1552"/>
      <c r="H1552" s="34"/>
      <c r="I1552"/>
      <c r="J1552"/>
      <c r="K1552"/>
      <c r="L1552"/>
      <c r="M1552"/>
      <c r="N1552"/>
      <c r="O1552"/>
      <c r="P1552"/>
      <c r="Q1552"/>
      <c r="R1552" s="8"/>
      <c r="S1552" s="1"/>
      <c r="T1552"/>
      <c r="U1552"/>
      <c r="V1552"/>
    </row>
    <row r="1553" spans="1:22" s="53" customFormat="1" x14ac:dyDescent="0.35">
      <c r="A1553" s="2"/>
      <c r="B1553" s="3"/>
      <c r="C1553" s="3"/>
      <c r="D1553" s="3"/>
      <c r="E1553"/>
      <c r="F1553"/>
      <c r="G1553"/>
      <c r="H1553" s="34"/>
      <c r="I1553"/>
      <c r="J1553"/>
      <c r="K1553"/>
      <c r="L1553"/>
      <c r="M1553"/>
      <c r="N1553"/>
      <c r="O1553"/>
      <c r="P1553"/>
      <c r="Q1553"/>
      <c r="R1553" s="8"/>
      <c r="S1553" s="1"/>
      <c r="T1553"/>
      <c r="U1553"/>
      <c r="V1553"/>
    </row>
    <row r="1554" spans="1:22" s="53" customFormat="1" x14ac:dyDescent="0.35">
      <c r="A1554" s="2"/>
      <c r="B1554" s="3"/>
      <c r="C1554" s="3"/>
      <c r="D1554" s="3"/>
      <c r="E1554"/>
      <c r="F1554"/>
      <c r="G1554"/>
      <c r="H1554" s="34"/>
      <c r="I1554"/>
      <c r="J1554"/>
      <c r="K1554"/>
      <c r="L1554"/>
      <c r="M1554"/>
      <c r="N1554"/>
      <c r="O1554"/>
      <c r="P1554"/>
      <c r="Q1554"/>
      <c r="R1554" s="8"/>
      <c r="S1554" s="1"/>
      <c r="T1554"/>
      <c r="U1554"/>
      <c r="V1554"/>
    </row>
    <row r="1555" spans="1:22" s="53" customFormat="1" x14ac:dyDescent="0.35">
      <c r="A1555" s="2"/>
      <c r="B1555" s="3"/>
      <c r="C1555" s="3"/>
      <c r="D1555" s="3"/>
      <c r="E1555"/>
      <c r="F1555"/>
      <c r="G1555"/>
      <c r="H1555" s="34"/>
      <c r="I1555"/>
      <c r="J1555"/>
      <c r="K1555"/>
      <c r="L1555"/>
      <c r="M1555"/>
      <c r="N1555"/>
      <c r="O1555"/>
      <c r="P1555"/>
      <c r="Q1555"/>
      <c r="R1555" s="8"/>
      <c r="S1555" s="1"/>
      <c r="T1555"/>
      <c r="U1555"/>
      <c r="V1555"/>
    </row>
    <row r="1556" spans="1:22" s="53" customFormat="1" x14ac:dyDescent="0.35">
      <c r="A1556" s="2"/>
      <c r="B1556" s="3"/>
      <c r="C1556" s="3"/>
      <c r="D1556" s="3"/>
      <c r="E1556"/>
      <c r="F1556"/>
      <c r="G1556"/>
      <c r="H1556" s="34"/>
      <c r="I1556"/>
      <c r="J1556"/>
      <c r="K1556"/>
      <c r="L1556"/>
      <c r="M1556"/>
      <c r="N1556"/>
      <c r="O1556"/>
      <c r="P1556"/>
      <c r="Q1556"/>
      <c r="R1556" s="8"/>
      <c r="S1556" s="1"/>
      <c r="T1556"/>
      <c r="U1556"/>
      <c r="V1556"/>
    </row>
    <row r="1557" spans="1:22" s="53" customFormat="1" x14ac:dyDescent="0.35">
      <c r="A1557" s="2"/>
      <c r="B1557" s="3"/>
      <c r="C1557" s="3"/>
      <c r="D1557" s="3"/>
      <c r="E1557"/>
      <c r="F1557"/>
      <c r="G1557"/>
      <c r="H1557" s="34"/>
      <c r="I1557"/>
      <c r="J1557"/>
      <c r="K1557"/>
      <c r="L1557"/>
      <c r="M1557"/>
      <c r="N1557"/>
      <c r="O1557"/>
      <c r="P1557"/>
      <c r="Q1557"/>
      <c r="R1557" s="8"/>
      <c r="S1557" s="1"/>
      <c r="T1557"/>
      <c r="U1557"/>
      <c r="V1557"/>
    </row>
    <row r="1558" spans="1:22" s="53" customFormat="1" x14ac:dyDescent="0.35">
      <c r="A1558" s="2"/>
      <c r="B1558" s="3"/>
      <c r="C1558" s="3"/>
      <c r="D1558" s="3"/>
      <c r="E1558"/>
      <c r="F1558"/>
      <c r="G1558"/>
      <c r="H1558" s="34"/>
      <c r="I1558"/>
      <c r="J1558"/>
      <c r="K1558"/>
      <c r="L1558"/>
      <c r="M1558"/>
      <c r="N1558"/>
      <c r="O1558"/>
      <c r="P1558"/>
      <c r="Q1558"/>
      <c r="R1558" s="8"/>
      <c r="S1558" s="1"/>
      <c r="T1558"/>
      <c r="U1558"/>
      <c r="V1558"/>
    </row>
    <row r="1559" spans="1:22" s="53" customFormat="1" x14ac:dyDescent="0.35">
      <c r="A1559" s="2"/>
      <c r="B1559" s="3"/>
      <c r="C1559" s="3"/>
      <c r="D1559" s="3"/>
      <c r="E1559"/>
      <c r="F1559"/>
      <c r="G1559"/>
      <c r="H1559" s="34"/>
      <c r="I1559"/>
      <c r="J1559"/>
      <c r="K1559"/>
      <c r="L1559"/>
      <c r="M1559"/>
      <c r="N1559"/>
      <c r="O1559"/>
      <c r="P1559"/>
      <c r="Q1559"/>
      <c r="R1559" s="8"/>
      <c r="S1559" s="1"/>
      <c r="T1559"/>
      <c r="U1559"/>
      <c r="V1559"/>
    </row>
    <row r="1560" spans="1:22" s="53" customFormat="1" x14ac:dyDescent="0.35">
      <c r="A1560" s="2"/>
      <c r="B1560" s="3"/>
      <c r="C1560" s="3"/>
      <c r="D1560" s="3"/>
      <c r="E1560"/>
      <c r="F1560"/>
      <c r="G1560"/>
      <c r="H1560" s="34"/>
      <c r="I1560"/>
      <c r="J1560"/>
      <c r="K1560"/>
      <c r="L1560"/>
      <c r="M1560"/>
      <c r="N1560"/>
      <c r="O1560"/>
      <c r="P1560"/>
      <c r="Q1560"/>
      <c r="R1560" s="8"/>
      <c r="S1560" s="1"/>
      <c r="T1560"/>
      <c r="U1560"/>
      <c r="V1560"/>
    </row>
    <row r="1561" spans="1:22" s="53" customFormat="1" x14ac:dyDescent="0.35">
      <c r="A1561" s="2"/>
      <c r="B1561" s="3"/>
      <c r="C1561" s="3"/>
      <c r="D1561" s="3"/>
      <c r="E1561"/>
      <c r="F1561"/>
      <c r="G1561"/>
      <c r="H1561" s="34"/>
      <c r="I1561"/>
      <c r="J1561"/>
      <c r="K1561"/>
      <c r="L1561"/>
      <c r="M1561"/>
      <c r="N1561"/>
      <c r="O1561"/>
      <c r="P1561"/>
      <c r="Q1561"/>
      <c r="R1561" s="8"/>
      <c r="S1561" s="1"/>
      <c r="T1561"/>
      <c r="U1561"/>
      <c r="V1561"/>
    </row>
    <row r="1562" spans="1:22" s="53" customFormat="1" x14ac:dyDescent="0.35">
      <c r="A1562" s="2"/>
      <c r="B1562" s="3"/>
      <c r="C1562" s="3"/>
      <c r="D1562" s="3"/>
      <c r="E1562"/>
      <c r="F1562"/>
      <c r="G1562"/>
      <c r="H1562" s="34"/>
      <c r="I1562"/>
      <c r="J1562"/>
      <c r="K1562"/>
      <c r="L1562"/>
      <c r="M1562"/>
      <c r="N1562"/>
      <c r="O1562"/>
      <c r="P1562"/>
      <c r="Q1562"/>
      <c r="R1562" s="8"/>
      <c r="S1562" s="1"/>
      <c r="T1562"/>
      <c r="U1562"/>
      <c r="V1562"/>
    </row>
    <row r="1563" spans="1:22" s="53" customFormat="1" x14ac:dyDescent="0.35">
      <c r="A1563" s="2"/>
      <c r="B1563" s="3"/>
      <c r="C1563" s="3"/>
      <c r="D1563" s="3"/>
      <c r="E1563"/>
      <c r="F1563"/>
      <c r="G1563"/>
      <c r="H1563" s="34"/>
      <c r="I1563"/>
      <c r="J1563"/>
      <c r="K1563"/>
      <c r="L1563"/>
      <c r="M1563"/>
      <c r="N1563"/>
      <c r="O1563"/>
      <c r="P1563"/>
      <c r="Q1563"/>
      <c r="R1563" s="8"/>
      <c r="S1563" s="1"/>
      <c r="T1563"/>
      <c r="U1563"/>
      <c r="V1563"/>
    </row>
    <row r="1564" spans="1:22" s="53" customFormat="1" x14ac:dyDescent="0.35">
      <c r="A1564" s="2"/>
      <c r="B1564" s="3"/>
      <c r="C1564" s="3"/>
      <c r="D1564" s="3"/>
      <c r="E1564"/>
      <c r="F1564"/>
      <c r="G1564"/>
      <c r="H1564" s="34"/>
      <c r="I1564"/>
      <c r="J1564"/>
      <c r="K1564"/>
      <c r="L1564"/>
      <c r="M1564"/>
      <c r="N1564"/>
      <c r="O1564"/>
      <c r="P1564"/>
      <c r="Q1564"/>
      <c r="R1564" s="8"/>
      <c r="S1564" s="1"/>
      <c r="T1564"/>
      <c r="U1564"/>
      <c r="V1564"/>
    </row>
    <row r="1565" spans="1:22" s="53" customFormat="1" x14ac:dyDescent="0.35">
      <c r="A1565" s="2"/>
      <c r="B1565" s="3"/>
      <c r="C1565" s="3"/>
      <c r="D1565" s="3"/>
      <c r="E1565"/>
      <c r="F1565"/>
      <c r="G1565"/>
      <c r="H1565" s="34"/>
      <c r="I1565"/>
      <c r="J1565"/>
      <c r="K1565"/>
      <c r="L1565"/>
      <c r="M1565"/>
      <c r="N1565"/>
      <c r="O1565"/>
      <c r="P1565"/>
      <c r="Q1565"/>
      <c r="R1565" s="8"/>
      <c r="S1565" s="1"/>
      <c r="T1565"/>
      <c r="U1565"/>
      <c r="V1565"/>
    </row>
    <row r="1566" spans="1:22" s="53" customFormat="1" x14ac:dyDescent="0.35">
      <c r="A1566" s="2"/>
      <c r="B1566" s="3"/>
      <c r="C1566" s="3"/>
      <c r="D1566" s="3"/>
      <c r="E1566"/>
      <c r="F1566"/>
      <c r="G1566"/>
      <c r="H1566" s="34"/>
      <c r="I1566"/>
      <c r="J1566"/>
      <c r="K1566"/>
      <c r="L1566"/>
      <c r="M1566"/>
      <c r="N1566"/>
      <c r="O1566"/>
      <c r="P1566"/>
      <c r="Q1566"/>
      <c r="R1566" s="8"/>
      <c r="S1566" s="1"/>
      <c r="T1566"/>
      <c r="U1566"/>
      <c r="V1566"/>
    </row>
    <row r="1567" spans="1:22" s="53" customFormat="1" x14ac:dyDescent="0.35">
      <c r="A1567" s="2"/>
      <c r="B1567" s="3"/>
      <c r="C1567" s="3"/>
      <c r="D1567" s="3"/>
      <c r="E1567"/>
      <c r="F1567"/>
      <c r="G1567"/>
      <c r="H1567" s="34"/>
      <c r="I1567"/>
      <c r="J1567"/>
      <c r="K1567"/>
      <c r="L1567"/>
      <c r="M1567"/>
      <c r="N1567"/>
      <c r="O1567"/>
      <c r="P1567"/>
      <c r="Q1567"/>
      <c r="R1567" s="8"/>
      <c r="S1567" s="1"/>
      <c r="T1567"/>
      <c r="U1567"/>
      <c r="V1567"/>
    </row>
    <row r="1568" spans="1:22" s="53" customFormat="1" x14ac:dyDescent="0.35">
      <c r="A1568" s="2"/>
      <c r="B1568" s="3"/>
      <c r="C1568" s="3"/>
      <c r="D1568" s="3"/>
      <c r="E1568"/>
      <c r="F1568"/>
      <c r="G1568"/>
      <c r="H1568" s="34"/>
      <c r="I1568"/>
      <c r="J1568"/>
      <c r="K1568"/>
      <c r="L1568"/>
      <c r="M1568"/>
      <c r="N1568"/>
      <c r="O1568"/>
      <c r="P1568"/>
      <c r="Q1568"/>
      <c r="R1568" s="8"/>
      <c r="S1568" s="1"/>
      <c r="T1568"/>
      <c r="U1568"/>
      <c r="V1568"/>
    </row>
    <row r="1569" spans="1:22" s="53" customFormat="1" x14ac:dyDescent="0.35">
      <c r="A1569" s="2"/>
      <c r="B1569" s="3"/>
      <c r="C1569" s="3"/>
      <c r="D1569" s="3"/>
      <c r="E1569"/>
      <c r="F1569"/>
      <c r="G1569"/>
      <c r="H1569" s="34"/>
      <c r="I1569"/>
      <c r="J1569"/>
      <c r="K1569"/>
      <c r="L1569"/>
      <c r="M1569"/>
      <c r="N1569"/>
      <c r="O1569"/>
      <c r="P1569"/>
      <c r="Q1569"/>
      <c r="R1569" s="8"/>
      <c r="S1569" s="1"/>
      <c r="T1569"/>
      <c r="U1569"/>
      <c r="V1569"/>
    </row>
    <row r="1570" spans="1:22" s="53" customFormat="1" x14ac:dyDescent="0.35">
      <c r="A1570" s="2"/>
      <c r="B1570" s="3"/>
      <c r="C1570" s="3"/>
      <c r="D1570" s="3"/>
      <c r="E1570"/>
      <c r="F1570"/>
      <c r="G1570"/>
      <c r="H1570" s="34"/>
      <c r="I1570"/>
      <c r="J1570"/>
      <c r="K1570"/>
      <c r="L1570"/>
      <c r="M1570"/>
      <c r="N1570"/>
      <c r="O1570"/>
      <c r="P1570"/>
      <c r="Q1570"/>
      <c r="R1570" s="8"/>
      <c r="S1570" s="1"/>
      <c r="T1570"/>
      <c r="U1570"/>
      <c r="V1570"/>
    </row>
    <row r="1571" spans="1:22" s="53" customFormat="1" x14ac:dyDescent="0.35">
      <c r="A1571" s="2"/>
      <c r="B1571" s="3"/>
      <c r="C1571" s="3"/>
      <c r="D1571" s="3"/>
      <c r="E1571"/>
      <c r="F1571"/>
      <c r="G1571"/>
      <c r="H1571" s="34"/>
      <c r="I1571"/>
      <c r="J1571"/>
      <c r="K1571"/>
      <c r="L1571"/>
      <c r="M1571"/>
      <c r="N1571"/>
      <c r="O1571"/>
      <c r="P1571"/>
      <c r="Q1571"/>
      <c r="R1571" s="8"/>
      <c r="S1571" s="1"/>
      <c r="T1571"/>
      <c r="U1571"/>
      <c r="V1571"/>
    </row>
    <row r="1572" spans="1:22" s="53" customFormat="1" x14ac:dyDescent="0.35">
      <c r="A1572" s="2"/>
      <c r="B1572" s="3"/>
      <c r="C1572" s="3"/>
      <c r="D1572" s="3"/>
      <c r="E1572"/>
      <c r="F1572"/>
      <c r="G1572"/>
      <c r="H1572" s="34"/>
      <c r="I1572"/>
      <c r="J1572"/>
      <c r="K1572"/>
      <c r="L1572"/>
      <c r="M1572"/>
      <c r="N1572"/>
      <c r="O1572"/>
      <c r="P1572"/>
      <c r="Q1572"/>
      <c r="R1572" s="8"/>
      <c r="S1572" s="1"/>
      <c r="T1572"/>
      <c r="U1572"/>
      <c r="V1572"/>
    </row>
    <row r="1573" spans="1:22" s="53" customFormat="1" x14ac:dyDescent="0.35">
      <c r="A1573" s="2"/>
      <c r="B1573" s="3"/>
      <c r="C1573" s="3"/>
      <c r="D1573" s="3"/>
      <c r="E1573"/>
      <c r="F1573"/>
      <c r="G1573"/>
      <c r="H1573" s="34"/>
      <c r="I1573"/>
      <c r="J1573"/>
      <c r="K1573"/>
      <c r="L1573"/>
      <c r="M1573"/>
      <c r="N1573"/>
      <c r="O1573"/>
      <c r="P1573"/>
      <c r="Q1573"/>
      <c r="R1573" s="8"/>
      <c r="S1573" s="1"/>
      <c r="T1573"/>
      <c r="U1573"/>
      <c r="V1573"/>
    </row>
    <row r="1574" spans="1:22" s="53" customFormat="1" x14ac:dyDescent="0.35">
      <c r="A1574" s="2"/>
      <c r="B1574" s="3"/>
      <c r="C1574" s="3"/>
      <c r="D1574" s="3"/>
      <c r="E1574"/>
      <c r="F1574"/>
      <c r="G1574"/>
      <c r="H1574" s="34"/>
      <c r="I1574"/>
      <c r="J1574"/>
      <c r="K1574"/>
      <c r="L1574"/>
      <c r="M1574"/>
      <c r="N1574"/>
      <c r="O1574"/>
      <c r="P1574"/>
      <c r="Q1574"/>
      <c r="R1574" s="8"/>
      <c r="S1574" s="1"/>
      <c r="T1574"/>
      <c r="U1574"/>
      <c r="V1574"/>
    </row>
    <row r="1575" spans="1:22" s="53" customFormat="1" x14ac:dyDescent="0.35">
      <c r="A1575" s="2"/>
      <c r="B1575" s="3"/>
      <c r="C1575" s="3"/>
      <c r="D1575" s="3"/>
      <c r="E1575"/>
      <c r="F1575"/>
      <c r="G1575"/>
      <c r="H1575" s="34"/>
      <c r="I1575"/>
      <c r="J1575"/>
      <c r="K1575"/>
      <c r="L1575"/>
      <c r="M1575"/>
      <c r="N1575"/>
      <c r="O1575"/>
      <c r="P1575"/>
      <c r="Q1575"/>
      <c r="R1575" s="8"/>
      <c r="S1575" s="1"/>
      <c r="T1575"/>
      <c r="U1575"/>
      <c r="V1575"/>
    </row>
    <row r="1576" spans="1:22" s="53" customFormat="1" x14ac:dyDescent="0.35">
      <c r="A1576" s="2"/>
      <c r="B1576" s="3"/>
      <c r="C1576" s="3"/>
      <c r="D1576" s="3"/>
      <c r="E1576"/>
      <c r="F1576"/>
      <c r="G1576"/>
      <c r="H1576" s="34"/>
      <c r="I1576"/>
      <c r="J1576"/>
      <c r="K1576"/>
      <c r="L1576"/>
      <c r="M1576"/>
      <c r="N1576"/>
      <c r="O1576"/>
      <c r="P1576"/>
      <c r="Q1576"/>
      <c r="R1576" s="8"/>
      <c r="S1576" s="1"/>
      <c r="T1576"/>
      <c r="U1576"/>
      <c r="V1576"/>
    </row>
    <row r="1577" spans="1:22" s="53" customFormat="1" x14ac:dyDescent="0.35">
      <c r="A1577" s="2"/>
      <c r="B1577" s="3"/>
      <c r="C1577" s="3"/>
      <c r="D1577" s="3"/>
      <c r="E1577"/>
      <c r="F1577"/>
      <c r="G1577"/>
      <c r="H1577" s="34"/>
      <c r="I1577"/>
      <c r="J1577"/>
      <c r="K1577"/>
      <c r="L1577"/>
      <c r="M1577"/>
      <c r="N1577"/>
      <c r="O1577"/>
      <c r="P1577"/>
      <c r="Q1577"/>
      <c r="R1577" s="8"/>
      <c r="S1577" s="1"/>
      <c r="T1577"/>
      <c r="U1577"/>
      <c r="V1577"/>
    </row>
    <row r="1578" spans="1:22" s="53" customFormat="1" x14ac:dyDescent="0.35">
      <c r="A1578" s="2"/>
      <c r="B1578" s="3"/>
      <c r="C1578" s="3"/>
      <c r="D1578" s="3"/>
      <c r="E1578"/>
      <c r="F1578"/>
      <c r="G1578"/>
      <c r="H1578" s="34"/>
      <c r="I1578"/>
      <c r="J1578"/>
      <c r="K1578"/>
      <c r="L1578"/>
      <c r="M1578"/>
      <c r="N1578"/>
      <c r="O1578"/>
      <c r="P1578"/>
      <c r="Q1578"/>
      <c r="R1578" s="8"/>
      <c r="S1578" s="1"/>
      <c r="T1578"/>
      <c r="U1578"/>
      <c r="V1578"/>
    </row>
    <row r="1579" spans="1:22" s="53" customFormat="1" x14ac:dyDescent="0.35">
      <c r="A1579" s="2"/>
      <c r="B1579" s="3"/>
      <c r="C1579" s="3"/>
      <c r="D1579" s="3"/>
      <c r="E1579"/>
      <c r="F1579"/>
      <c r="G1579"/>
      <c r="H1579" s="34"/>
      <c r="I1579"/>
      <c r="J1579"/>
      <c r="K1579"/>
      <c r="L1579"/>
      <c r="M1579"/>
      <c r="N1579"/>
      <c r="O1579"/>
      <c r="P1579"/>
      <c r="Q1579"/>
      <c r="R1579" s="8"/>
      <c r="S1579" s="1"/>
      <c r="T1579"/>
      <c r="U1579"/>
      <c r="V1579"/>
    </row>
    <row r="1580" spans="1:22" s="53" customFormat="1" x14ac:dyDescent="0.35">
      <c r="A1580" s="2"/>
      <c r="B1580" s="3"/>
      <c r="C1580" s="3"/>
      <c r="D1580" s="3"/>
      <c r="E1580"/>
      <c r="F1580"/>
      <c r="G1580"/>
      <c r="H1580" s="34"/>
      <c r="I1580"/>
      <c r="J1580"/>
      <c r="K1580"/>
      <c r="L1580"/>
      <c r="M1580"/>
      <c r="N1580"/>
      <c r="O1580"/>
      <c r="P1580"/>
      <c r="Q1580"/>
      <c r="R1580" s="8"/>
      <c r="S1580" s="1"/>
      <c r="T1580"/>
      <c r="U1580"/>
      <c r="V1580"/>
    </row>
    <row r="1581" spans="1:22" s="53" customFormat="1" x14ac:dyDescent="0.35">
      <c r="A1581" s="2"/>
      <c r="B1581" s="3"/>
      <c r="C1581" s="3"/>
      <c r="D1581" s="3"/>
      <c r="E1581"/>
      <c r="F1581"/>
      <c r="G1581"/>
      <c r="H1581" s="34"/>
      <c r="I1581"/>
      <c r="J1581"/>
      <c r="K1581"/>
      <c r="L1581"/>
      <c r="M1581"/>
      <c r="N1581"/>
      <c r="O1581"/>
      <c r="P1581"/>
      <c r="Q1581"/>
      <c r="R1581" s="8"/>
      <c r="S1581" s="1"/>
      <c r="T1581"/>
      <c r="U1581"/>
      <c r="V1581"/>
    </row>
    <row r="1582" spans="1:22" s="53" customFormat="1" x14ac:dyDescent="0.35">
      <c r="A1582" s="2"/>
      <c r="B1582" s="3"/>
      <c r="C1582" s="3"/>
      <c r="D1582" s="3"/>
      <c r="E1582"/>
      <c r="F1582"/>
      <c r="G1582"/>
      <c r="H1582" s="34"/>
      <c r="I1582"/>
      <c r="J1582"/>
      <c r="K1582"/>
      <c r="L1582"/>
      <c r="M1582"/>
      <c r="N1582"/>
      <c r="O1582"/>
      <c r="P1582"/>
      <c r="Q1582"/>
      <c r="R1582" s="8"/>
      <c r="S1582" s="1"/>
      <c r="T1582"/>
      <c r="U1582"/>
      <c r="V1582"/>
    </row>
    <row r="1583" spans="1:22" s="53" customFormat="1" x14ac:dyDescent="0.35">
      <c r="A1583" s="2"/>
      <c r="B1583" s="3"/>
      <c r="C1583" s="3"/>
      <c r="D1583" s="3"/>
      <c r="E1583"/>
      <c r="F1583"/>
      <c r="G1583"/>
      <c r="H1583" s="34"/>
      <c r="I1583"/>
      <c r="J1583"/>
      <c r="K1583"/>
      <c r="L1583"/>
      <c r="M1583"/>
      <c r="N1583"/>
      <c r="O1583"/>
      <c r="P1583"/>
      <c r="Q1583"/>
      <c r="R1583" s="8"/>
      <c r="S1583" s="1"/>
      <c r="T1583"/>
      <c r="U1583"/>
      <c r="V1583"/>
    </row>
    <row r="1584" spans="1:22" s="53" customFormat="1" x14ac:dyDescent="0.35">
      <c r="A1584" s="2"/>
      <c r="B1584" s="3"/>
      <c r="C1584" s="3"/>
      <c r="D1584" s="3"/>
      <c r="E1584"/>
      <c r="F1584"/>
      <c r="G1584"/>
      <c r="H1584" s="34"/>
      <c r="I1584"/>
      <c r="J1584"/>
      <c r="K1584"/>
      <c r="L1584"/>
      <c r="M1584"/>
      <c r="N1584"/>
      <c r="O1584"/>
      <c r="P1584"/>
      <c r="Q1584"/>
      <c r="R1584" s="8"/>
      <c r="S1584" s="1"/>
      <c r="T1584"/>
      <c r="U1584"/>
      <c r="V1584"/>
    </row>
    <row r="1585" spans="1:22" s="53" customFormat="1" x14ac:dyDescent="0.35">
      <c r="A1585" s="2"/>
      <c r="B1585" s="3"/>
      <c r="C1585" s="3"/>
      <c r="D1585" s="3"/>
      <c r="E1585"/>
      <c r="F1585"/>
      <c r="G1585"/>
      <c r="H1585" s="34"/>
      <c r="I1585"/>
      <c r="J1585"/>
      <c r="K1585"/>
      <c r="L1585"/>
      <c r="M1585"/>
      <c r="N1585"/>
      <c r="O1585"/>
      <c r="P1585"/>
      <c r="Q1585"/>
      <c r="R1585" s="8"/>
      <c r="S1585" s="1"/>
      <c r="T1585"/>
      <c r="U1585"/>
      <c r="V1585"/>
    </row>
    <row r="1586" spans="1:22" s="53" customFormat="1" x14ac:dyDescent="0.35">
      <c r="A1586" s="2"/>
      <c r="B1586" s="3"/>
      <c r="C1586" s="3"/>
      <c r="D1586" s="3"/>
      <c r="E1586"/>
      <c r="F1586"/>
      <c r="G1586"/>
      <c r="H1586" s="34"/>
      <c r="I1586"/>
      <c r="J1586"/>
      <c r="K1586"/>
      <c r="L1586"/>
      <c r="M1586"/>
      <c r="N1586"/>
      <c r="O1586"/>
      <c r="P1586"/>
      <c r="Q1586"/>
      <c r="R1586" s="8"/>
      <c r="S1586" s="1"/>
      <c r="T1586"/>
      <c r="U1586"/>
      <c r="V1586"/>
    </row>
    <row r="1587" spans="1:22" s="53" customFormat="1" x14ac:dyDescent="0.35">
      <c r="A1587" s="2"/>
      <c r="B1587" s="3"/>
      <c r="C1587" s="3"/>
      <c r="D1587" s="3"/>
      <c r="E1587"/>
      <c r="F1587"/>
      <c r="G1587"/>
      <c r="H1587" s="34"/>
      <c r="I1587"/>
      <c r="J1587"/>
      <c r="K1587"/>
      <c r="L1587"/>
      <c r="M1587"/>
      <c r="N1587"/>
      <c r="O1587"/>
      <c r="P1587"/>
      <c r="Q1587"/>
      <c r="R1587" s="8"/>
      <c r="S1587" s="1"/>
      <c r="T1587"/>
      <c r="U1587"/>
      <c r="V1587"/>
    </row>
    <row r="1588" spans="1:22" s="53" customFormat="1" x14ac:dyDescent="0.35">
      <c r="A1588" s="2"/>
      <c r="B1588" s="3"/>
      <c r="C1588" s="3"/>
      <c r="D1588" s="3"/>
      <c r="E1588"/>
      <c r="F1588"/>
      <c r="G1588"/>
      <c r="H1588" s="34"/>
      <c r="I1588"/>
      <c r="J1588"/>
      <c r="K1588"/>
      <c r="L1588"/>
      <c r="M1588"/>
      <c r="N1588"/>
      <c r="O1588"/>
      <c r="P1588"/>
      <c r="Q1588"/>
      <c r="R1588" s="8"/>
      <c r="S1588" s="1"/>
      <c r="T1588"/>
      <c r="U1588"/>
      <c r="V1588"/>
    </row>
    <row r="1589" spans="1:22" s="53" customFormat="1" x14ac:dyDescent="0.35">
      <c r="A1589" s="2"/>
      <c r="B1589" s="3"/>
      <c r="C1589" s="3"/>
      <c r="D1589" s="3"/>
      <c r="E1589"/>
      <c r="F1589"/>
      <c r="G1589"/>
      <c r="H1589" s="34"/>
      <c r="I1589"/>
      <c r="J1589"/>
      <c r="K1589"/>
      <c r="L1589"/>
      <c r="M1589"/>
      <c r="N1589"/>
      <c r="O1589"/>
      <c r="P1589"/>
      <c r="Q1589"/>
      <c r="R1589" s="8"/>
      <c r="S1589" s="1"/>
      <c r="T1589"/>
      <c r="U1589"/>
      <c r="V1589"/>
    </row>
    <row r="1590" spans="1:22" s="53" customFormat="1" x14ac:dyDescent="0.35">
      <c r="A1590" s="2"/>
      <c r="B1590" s="3"/>
      <c r="C1590" s="3"/>
      <c r="D1590" s="3"/>
      <c r="E1590"/>
      <c r="F1590"/>
      <c r="G1590"/>
      <c r="H1590" s="34"/>
      <c r="I1590"/>
      <c r="J1590"/>
      <c r="K1590"/>
      <c r="L1590"/>
      <c r="M1590"/>
      <c r="N1590"/>
      <c r="O1590"/>
      <c r="P1590"/>
      <c r="Q1590"/>
      <c r="R1590" s="8"/>
      <c r="S1590" s="1"/>
      <c r="T1590"/>
      <c r="U1590"/>
      <c r="V1590"/>
    </row>
    <row r="1591" spans="1:22" s="53" customFormat="1" x14ac:dyDescent="0.35">
      <c r="A1591" s="2"/>
      <c r="B1591" s="3"/>
      <c r="C1591" s="3"/>
      <c r="D1591" s="3"/>
      <c r="E1591"/>
      <c r="F1591"/>
      <c r="G1591"/>
      <c r="H1591" s="34"/>
      <c r="I1591"/>
      <c r="J1591"/>
      <c r="K1591"/>
      <c r="L1591"/>
      <c r="M1591"/>
      <c r="N1591"/>
      <c r="O1591"/>
      <c r="P1591"/>
      <c r="Q1591"/>
      <c r="R1591" s="8"/>
      <c r="S1591" s="1"/>
      <c r="T1591"/>
      <c r="U1591"/>
      <c r="V1591"/>
    </row>
    <row r="1592" spans="1:22" s="53" customFormat="1" x14ac:dyDescent="0.35">
      <c r="A1592" s="2"/>
      <c r="B1592" s="3"/>
      <c r="C1592" s="3"/>
      <c r="D1592" s="3"/>
      <c r="E1592"/>
      <c r="F1592"/>
      <c r="G1592"/>
      <c r="H1592" s="34"/>
      <c r="I1592"/>
      <c r="J1592"/>
      <c r="K1592"/>
      <c r="L1592"/>
      <c r="M1592"/>
      <c r="N1592"/>
      <c r="O1592"/>
      <c r="P1592"/>
      <c r="Q1592"/>
      <c r="R1592" s="8"/>
      <c r="S1592" s="1"/>
      <c r="T1592"/>
      <c r="U1592"/>
      <c r="V1592"/>
    </row>
    <row r="1593" spans="1:22" s="53" customFormat="1" x14ac:dyDescent="0.35">
      <c r="A1593" s="2"/>
      <c r="B1593" s="3"/>
      <c r="C1593" s="3"/>
      <c r="D1593" s="3"/>
      <c r="E1593"/>
      <c r="F1593"/>
      <c r="G1593"/>
      <c r="H1593" s="34"/>
      <c r="I1593"/>
      <c r="J1593"/>
      <c r="K1593"/>
      <c r="L1593"/>
      <c r="M1593"/>
      <c r="N1593"/>
      <c r="O1593"/>
      <c r="P1593"/>
      <c r="Q1593"/>
      <c r="R1593" s="8"/>
      <c r="S1593" s="1"/>
      <c r="T1593"/>
      <c r="U1593"/>
      <c r="V1593"/>
    </row>
    <row r="1594" spans="1:22" s="53" customFormat="1" x14ac:dyDescent="0.35">
      <c r="A1594" s="2"/>
      <c r="B1594" s="3"/>
      <c r="C1594" s="3"/>
      <c r="D1594" s="3"/>
      <c r="E1594"/>
      <c r="F1594"/>
      <c r="G1594"/>
      <c r="H1594" s="34"/>
      <c r="I1594"/>
      <c r="J1594"/>
      <c r="K1594"/>
      <c r="L1594"/>
      <c r="M1594"/>
      <c r="N1594"/>
      <c r="O1594"/>
      <c r="P1594"/>
      <c r="Q1594"/>
      <c r="R1594" s="8"/>
      <c r="S1594" s="1"/>
      <c r="T1594"/>
      <c r="U1594"/>
      <c r="V1594"/>
    </row>
    <row r="1595" spans="1:22" s="53" customFormat="1" x14ac:dyDescent="0.35">
      <c r="A1595" s="2"/>
      <c r="B1595" s="3"/>
      <c r="C1595" s="3"/>
      <c r="D1595" s="3"/>
      <c r="E1595"/>
      <c r="F1595"/>
      <c r="G1595"/>
      <c r="H1595" s="34"/>
      <c r="I1595"/>
      <c r="J1595"/>
      <c r="K1595"/>
      <c r="L1595"/>
      <c r="M1595"/>
      <c r="N1595"/>
      <c r="O1595"/>
      <c r="P1595"/>
      <c r="Q1595"/>
      <c r="R1595" s="8"/>
      <c r="S1595" s="1"/>
      <c r="T1595"/>
      <c r="U1595"/>
      <c r="V1595"/>
    </row>
    <row r="1596" spans="1:22" s="53" customFormat="1" x14ac:dyDescent="0.35">
      <c r="A1596" s="2"/>
      <c r="B1596" s="3"/>
      <c r="C1596" s="3"/>
      <c r="D1596" s="3"/>
      <c r="E1596"/>
      <c r="F1596"/>
      <c r="G1596"/>
      <c r="H1596" s="34"/>
      <c r="I1596"/>
      <c r="J1596"/>
      <c r="K1596"/>
      <c r="L1596"/>
      <c r="M1596"/>
      <c r="N1596"/>
      <c r="O1596"/>
      <c r="P1596"/>
      <c r="Q1596"/>
      <c r="R1596" s="8"/>
      <c r="S1596" s="1"/>
      <c r="T1596"/>
      <c r="U1596"/>
      <c r="V1596"/>
    </row>
    <row r="1597" spans="1:22" s="53" customFormat="1" x14ac:dyDescent="0.35">
      <c r="A1597" s="2"/>
      <c r="B1597" s="3"/>
      <c r="C1597" s="3"/>
      <c r="D1597" s="3"/>
      <c r="E1597"/>
      <c r="F1597"/>
      <c r="G1597"/>
      <c r="H1597" s="34"/>
      <c r="I1597"/>
      <c r="J1597"/>
      <c r="K1597"/>
      <c r="L1597"/>
      <c r="M1597"/>
      <c r="N1597"/>
      <c r="O1597"/>
      <c r="P1597"/>
      <c r="Q1597"/>
      <c r="R1597" s="8"/>
      <c r="S1597" s="1"/>
      <c r="T1597"/>
      <c r="U1597"/>
      <c r="V1597"/>
    </row>
    <row r="1598" spans="1:22" s="53" customFormat="1" x14ac:dyDescent="0.35">
      <c r="A1598" s="2"/>
      <c r="B1598" s="3"/>
      <c r="C1598" s="3"/>
      <c r="D1598" s="3"/>
      <c r="E1598"/>
      <c r="F1598"/>
      <c r="G1598"/>
      <c r="H1598" s="34"/>
      <c r="I1598"/>
      <c r="J1598"/>
      <c r="K1598"/>
      <c r="L1598"/>
      <c r="M1598"/>
      <c r="N1598"/>
      <c r="O1598"/>
      <c r="P1598"/>
      <c r="Q1598"/>
      <c r="R1598" s="8"/>
      <c r="S1598" s="1"/>
      <c r="T1598"/>
      <c r="U1598"/>
      <c r="V1598"/>
    </row>
    <row r="1599" spans="1:22" s="53" customFormat="1" x14ac:dyDescent="0.35">
      <c r="A1599" s="2"/>
      <c r="B1599" s="3"/>
      <c r="C1599" s="3"/>
      <c r="D1599" s="3"/>
      <c r="E1599"/>
      <c r="F1599"/>
      <c r="G1599"/>
      <c r="H1599" s="34"/>
      <c r="I1599"/>
      <c r="J1599"/>
      <c r="K1599"/>
      <c r="L1599"/>
      <c r="M1599"/>
      <c r="N1599"/>
      <c r="O1599"/>
      <c r="P1599"/>
      <c r="Q1599"/>
      <c r="R1599" s="8"/>
      <c r="S1599" s="1"/>
      <c r="T1599"/>
      <c r="U1599"/>
      <c r="V1599"/>
    </row>
    <row r="1600" spans="1:22" s="53" customFormat="1" x14ac:dyDescent="0.35">
      <c r="A1600" s="2"/>
      <c r="B1600" s="3"/>
      <c r="C1600" s="3"/>
      <c r="D1600" s="3"/>
      <c r="E1600"/>
      <c r="F1600"/>
      <c r="G1600"/>
      <c r="H1600" s="34"/>
      <c r="I1600"/>
      <c r="J1600"/>
      <c r="K1600"/>
      <c r="L1600"/>
      <c r="M1600"/>
      <c r="N1600"/>
      <c r="O1600"/>
      <c r="P1600"/>
      <c r="Q1600"/>
      <c r="R1600" s="8"/>
      <c r="S1600" s="1"/>
      <c r="T1600"/>
      <c r="U1600"/>
      <c r="V1600"/>
    </row>
    <row r="1601" spans="1:22" s="53" customFormat="1" x14ac:dyDescent="0.35">
      <c r="A1601" s="2"/>
      <c r="B1601" s="3"/>
      <c r="C1601" s="3"/>
      <c r="D1601" s="3"/>
      <c r="E1601"/>
      <c r="F1601"/>
      <c r="G1601"/>
      <c r="H1601" s="34"/>
      <c r="I1601"/>
      <c r="J1601"/>
      <c r="K1601"/>
      <c r="L1601"/>
      <c r="M1601"/>
      <c r="N1601"/>
      <c r="O1601"/>
      <c r="P1601"/>
      <c r="Q1601"/>
      <c r="R1601" s="8"/>
      <c r="S1601" s="1"/>
      <c r="T1601"/>
      <c r="U1601"/>
      <c r="V1601"/>
    </row>
    <row r="1602" spans="1:22" s="53" customFormat="1" x14ac:dyDescent="0.35">
      <c r="A1602" s="2"/>
      <c r="B1602" s="3"/>
      <c r="C1602" s="3"/>
      <c r="D1602" s="3"/>
      <c r="E1602"/>
      <c r="F1602"/>
      <c r="G1602"/>
      <c r="H1602" s="34"/>
      <c r="I1602"/>
      <c r="J1602"/>
      <c r="K1602"/>
      <c r="L1602"/>
      <c r="M1602"/>
      <c r="N1602"/>
      <c r="O1602"/>
      <c r="P1602"/>
      <c r="Q1602"/>
      <c r="R1602" s="8"/>
      <c r="S1602" s="1"/>
      <c r="T1602"/>
      <c r="U1602"/>
      <c r="V1602"/>
    </row>
    <row r="1603" spans="1:22" s="53" customFormat="1" x14ac:dyDescent="0.35">
      <c r="A1603" s="2"/>
      <c r="B1603" s="3"/>
      <c r="C1603" s="3"/>
      <c r="D1603" s="3"/>
      <c r="E1603"/>
      <c r="F1603"/>
      <c r="G1603"/>
      <c r="H1603" s="34"/>
      <c r="I1603"/>
      <c r="J1603"/>
      <c r="K1603"/>
      <c r="L1603"/>
      <c r="M1603"/>
      <c r="N1603"/>
      <c r="O1603"/>
      <c r="P1603"/>
      <c r="Q1603"/>
      <c r="R1603" s="8"/>
      <c r="S1603" s="1"/>
      <c r="T1603"/>
      <c r="U1603"/>
      <c r="V1603"/>
    </row>
    <row r="1604" spans="1:22" s="53" customFormat="1" x14ac:dyDescent="0.35">
      <c r="A1604" s="2"/>
      <c r="B1604" s="3"/>
      <c r="C1604" s="3"/>
      <c r="D1604" s="3"/>
      <c r="E1604"/>
      <c r="F1604"/>
      <c r="G1604"/>
      <c r="H1604" s="34"/>
      <c r="I1604"/>
      <c r="J1604"/>
      <c r="K1604"/>
      <c r="L1604"/>
      <c r="M1604"/>
      <c r="N1604"/>
      <c r="O1604"/>
      <c r="P1604"/>
      <c r="Q1604"/>
      <c r="R1604" s="8"/>
      <c r="S1604" s="1"/>
      <c r="T1604"/>
      <c r="U1604"/>
      <c r="V1604"/>
    </row>
    <row r="1605" spans="1:22" s="53" customFormat="1" x14ac:dyDescent="0.35">
      <c r="A1605" s="2"/>
      <c r="B1605" s="3"/>
      <c r="C1605" s="3"/>
      <c r="D1605" s="3"/>
      <c r="E1605"/>
      <c r="F1605"/>
      <c r="G1605"/>
      <c r="H1605" s="34"/>
      <c r="I1605"/>
      <c r="J1605"/>
      <c r="K1605"/>
      <c r="L1605"/>
      <c r="M1605"/>
      <c r="N1605"/>
      <c r="O1605"/>
      <c r="P1605"/>
      <c r="Q1605"/>
      <c r="R1605" s="8"/>
      <c r="S1605" s="1"/>
      <c r="T1605"/>
      <c r="U1605"/>
      <c r="V1605"/>
    </row>
    <row r="1606" spans="1:22" s="53" customFormat="1" x14ac:dyDescent="0.35">
      <c r="A1606" s="2"/>
      <c r="B1606" s="3"/>
      <c r="C1606" s="3"/>
      <c r="D1606" s="3"/>
      <c r="E1606"/>
      <c r="F1606"/>
      <c r="G1606"/>
      <c r="H1606" s="34"/>
      <c r="I1606"/>
      <c r="J1606"/>
      <c r="K1606"/>
      <c r="L1606"/>
      <c r="M1606"/>
      <c r="N1606"/>
      <c r="O1606"/>
      <c r="P1606"/>
      <c r="Q1606"/>
      <c r="R1606" s="8"/>
      <c r="S1606" s="1"/>
      <c r="T1606"/>
      <c r="U1606"/>
      <c r="V1606"/>
    </row>
    <row r="1607" spans="1:22" s="53" customFormat="1" x14ac:dyDescent="0.35">
      <c r="A1607" s="2"/>
      <c r="B1607" s="3"/>
      <c r="C1607" s="3"/>
      <c r="D1607" s="3"/>
      <c r="E1607"/>
      <c r="F1607"/>
      <c r="G1607"/>
      <c r="H1607" s="34"/>
      <c r="I1607"/>
      <c r="J1607"/>
      <c r="K1607"/>
      <c r="L1607"/>
      <c r="M1607"/>
      <c r="N1607"/>
      <c r="O1607"/>
      <c r="P1607"/>
      <c r="Q1607"/>
      <c r="R1607" s="8"/>
      <c r="S1607" s="1"/>
      <c r="T1607"/>
      <c r="U1607"/>
      <c r="V1607"/>
    </row>
    <row r="1608" spans="1:22" s="53" customFormat="1" x14ac:dyDescent="0.35">
      <c r="A1608" s="2"/>
      <c r="B1608" s="3"/>
      <c r="C1608" s="3"/>
      <c r="D1608" s="3"/>
      <c r="E1608"/>
      <c r="F1608"/>
      <c r="G1608"/>
      <c r="H1608" s="34"/>
      <c r="I1608"/>
      <c r="J1608"/>
      <c r="K1608"/>
      <c r="L1608"/>
      <c r="M1608"/>
      <c r="N1608"/>
      <c r="O1608"/>
      <c r="P1608"/>
      <c r="Q1608"/>
      <c r="R1608" s="8"/>
      <c r="S1608" s="1"/>
      <c r="T1608"/>
      <c r="U1608"/>
      <c r="V1608"/>
    </row>
    <row r="1609" spans="1:22" s="53" customFormat="1" x14ac:dyDescent="0.35">
      <c r="A1609" s="2"/>
      <c r="B1609" s="3"/>
      <c r="C1609" s="3"/>
      <c r="D1609" s="3"/>
      <c r="E1609"/>
      <c r="F1609"/>
      <c r="G1609"/>
      <c r="H1609" s="34"/>
      <c r="I1609"/>
      <c r="J1609"/>
      <c r="K1609"/>
      <c r="L1609"/>
      <c r="M1609"/>
      <c r="N1609"/>
      <c r="O1609"/>
      <c r="P1609"/>
      <c r="Q1609"/>
      <c r="R1609" s="8"/>
      <c r="S1609" s="1"/>
      <c r="T1609"/>
      <c r="U1609"/>
      <c r="V1609"/>
    </row>
    <row r="1610" spans="1:22" s="53" customFormat="1" x14ac:dyDescent="0.35">
      <c r="A1610" s="2"/>
      <c r="B1610" s="3"/>
      <c r="C1610" s="3"/>
      <c r="D1610" s="3"/>
      <c r="E1610"/>
      <c r="F1610"/>
      <c r="G1610"/>
      <c r="H1610" s="34"/>
      <c r="I1610"/>
      <c r="J1610"/>
      <c r="K1610"/>
      <c r="L1610"/>
      <c r="M1610"/>
      <c r="N1610"/>
      <c r="O1610"/>
      <c r="P1610"/>
      <c r="Q1610"/>
      <c r="R1610" s="8"/>
      <c r="S1610" s="1"/>
      <c r="T1610"/>
      <c r="U1610"/>
      <c r="V1610"/>
    </row>
    <row r="1611" spans="1:22" s="53" customFormat="1" x14ac:dyDescent="0.35">
      <c r="A1611" s="2"/>
      <c r="B1611" s="3"/>
      <c r="C1611" s="3"/>
      <c r="D1611" s="3"/>
      <c r="E1611"/>
      <c r="F1611"/>
      <c r="G1611"/>
      <c r="H1611" s="34"/>
      <c r="I1611"/>
      <c r="J1611"/>
      <c r="K1611"/>
      <c r="L1611"/>
      <c r="M1611"/>
      <c r="N1611"/>
      <c r="O1611"/>
      <c r="P1611"/>
      <c r="Q1611"/>
      <c r="R1611" s="8"/>
      <c r="S1611" s="1"/>
      <c r="T1611"/>
      <c r="U1611"/>
      <c r="V1611"/>
    </row>
    <row r="1612" spans="1:22" s="53" customFormat="1" x14ac:dyDescent="0.35">
      <c r="A1612" s="2"/>
      <c r="B1612" s="3"/>
      <c r="C1612" s="3"/>
      <c r="D1612" s="3"/>
      <c r="E1612"/>
      <c r="F1612"/>
      <c r="G1612"/>
      <c r="H1612" s="34"/>
      <c r="I1612"/>
      <c r="J1612"/>
      <c r="K1612"/>
      <c r="L1612"/>
      <c r="M1612"/>
      <c r="N1612"/>
      <c r="O1612"/>
      <c r="P1612"/>
      <c r="Q1612"/>
      <c r="R1612" s="8"/>
      <c r="S1612" s="1"/>
      <c r="T1612"/>
      <c r="U1612"/>
      <c r="V1612"/>
    </row>
    <row r="1613" spans="1:22" s="53" customFormat="1" x14ac:dyDescent="0.35">
      <c r="A1613" s="2"/>
      <c r="B1613" s="3"/>
      <c r="C1613" s="3"/>
      <c r="D1613" s="3"/>
      <c r="E1613"/>
      <c r="F1613"/>
      <c r="G1613"/>
      <c r="H1613" s="34"/>
      <c r="I1613"/>
      <c r="J1613"/>
      <c r="K1613"/>
      <c r="L1613"/>
      <c r="M1613"/>
      <c r="N1613"/>
      <c r="O1613"/>
      <c r="P1613"/>
      <c r="Q1613"/>
      <c r="R1613" s="8"/>
      <c r="S1613" s="1"/>
      <c r="T1613"/>
      <c r="U1613"/>
      <c r="V1613"/>
    </row>
    <row r="1614" spans="1:22" s="53" customFormat="1" x14ac:dyDescent="0.35">
      <c r="A1614" s="2"/>
      <c r="B1614" s="3"/>
      <c r="C1614" s="3"/>
      <c r="D1614" s="3"/>
      <c r="E1614"/>
      <c r="F1614"/>
      <c r="G1614"/>
      <c r="H1614" s="34"/>
      <c r="I1614"/>
      <c r="J1614"/>
      <c r="K1614"/>
      <c r="L1614"/>
      <c r="M1614"/>
      <c r="N1614"/>
      <c r="O1614"/>
      <c r="P1614"/>
      <c r="Q1614"/>
      <c r="R1614" s="8"/>
      <c r="S1614" s="1"/>
      <c r="T1614"/>
      <c r="U1614"/>
      <c r="V1614"/>
    </row>
    <row r="1615" spans="1:22" s="53" customFormat="1" x14ac:dyDescent="0.35">
      <c r="A1615" s="2"/>
      <c r="B1615" s="3"/>
      <c r="C1615" s="3"/>
      <c r="D1615" s="3"/>
      <c r="E1615"/>
      <c r="F1615"/>
      <c r="G1615"/>
      <c r="H1615" s="34"/>
      <c r="I1615"/>
      <c r="J1615"/>
      <c r="K1615"/>
      <c r="L1615"/>
      <c r="M1615"/>
      <c r="N1615"/>
      <c r="O1615"/>
      <c r="P1615"/>
      <c r="Q1615"/>
      <c r="R1615" s="8"/>
      <c r="S1615" s="1"/>
      <c r="T1615"/>
      <c r="U1615"/>
      <c r="V1615"/>
    </row>
    <row r="1616" spans="1:22" s="53" customFormat="1" x14ac:dyDescent="0.35">
      <c r="A1616" s="2"/>
      <c r="B1616" s="3"/>
      <c r="C1616" s="3"/>
      <c r="D1616" s="3"/>
      <c r="E1616"/>
      <c r="F1616"/>
      <c r="G1616"/>
      <c r="H1616" s="34"/>
      <c r="I1616"/>
      <c r="J1616"/>
      <c r="K1616"/>
      <c r="L1616"/>
      <c r="M1616"/>
      <c r="N1616"/>
      <c r="O1616"/>
      <c r="P1616"/>
      <c r="Q1616"/>
      <c r="R1616" s="8"/>
      <c r="S1616" s="1"/>
      <c r="T1616"/>
      <c r="U1616"/>
      <c r="V1616"/>
    </row>
    <row r="1617" spans="1:22" s="53" customFormat="1" x14ac:dyDescent="0.35">
      <c r="A1617" s="2"/>
      <c r="B1617" s="3"/>
      <c r="C1617" s="3"/>
      <c r="D1617" s="3"/>
      <c r="E1617"/>
      <c r="F1617"/>
      <c r="G1617"/>
      <c r="H1617" s="34"/>
      <c r="I1617"/>
      <c r="J1617"/>
      <c r="K1617"/>
      <c r="L1617"/>
      <c r="M1617"/>
      <c r="N1617"/>
      <c r="O1617"/>
      <c r="P1617"/>
      <c r="Q1617"/>
      <c r="R1617" s="8"/>
      <c r="S1617" s="1"/>
      <c r="T1617"/>
      <c r="U1617"/>
      <c r="V1617"/>
    </row>
    <row r="1618" spans="1:22" s="53" customFormat="1" x14ac:dyDescent="0.35">
      <c r="A1618" s="2"/>
      <c r="B1618" s="3"/>
      <c r="C1618" s="3"/>
      <c r="D1618" s="3"/>
      <c r="E1618"/>
      <c r="F1618"/>
      <c r="G1618"/>
      <c r="H1618" s="34"/>
      <c r="I1618"/>
      <c r="J1618"/>
      <c r="K1618"/>
      <c r="L1618"/>
      <c r="M1618"/>
      <c r="N1618"/>
      <c r="O1618"/>
      <c r="P1618"/>
      <c r="Q1618"/>
      <c r="R1618" s="8"/>
      <c r="S1618" s="1"/>
      <c r="T1618"/>
      <c r="U1618"/>
      <c r="V1618"/>
    </row>
    <row r="1619" spans="1:22" s="53" customFormat="1" x14ac:dyDescent="0.35">
      <c r="A1619" s="2"/>
      <c r="B1619" s="3"/>
      <c r="C1619" s="3"/>
      <c r="D1619" s="3"/>
      <c r="E1619"/>
      <c r="F1619"/>
      <c r="G1619"/>
      <c r="H1619" s="34"/>
      <c r="I1619"/>
      <c r="J1619"/>
      <c r="K1619"/>
      <c r="L1619"/>
      <c r="M1619"/>
      <c r="N1619"/>
      <c r="O1619"/>
      <c r="P1619"/>
      <c r="Q1619"/>
      <c r="R1619" s="8"/>
      <c r="S1619" s="1"/>
      <c r="T1619"/>
      <c r="U1619"/>
      <c r="V1619"/>
    </row>
    <row r="1620" spans="1:22" s="53" customFormat="1" x14ac:dyDescent="0.35">
      <c r="A1620" s="2"/>
      <c r="B1620" s="3"/>
      <c r="C1620" s="3"/>
      <c r="D1620" s="3"/>
      <c r="E1620"/>
      <c r="F1620"/>
      <c r="G1620"/>
      <c r="H1620" s="34"/>
      <c r="I1620"/>
      <c r="J1620"/>
      <c r="K1620"/>
      <c r="L1620"/>
      <c r="M1620"/>
      <c r="N1620"/>
      <c r="O1620"/>
      <c r="P1620"/>
      <c r="Q1620"/>
      <c r="R1620" s="8"/>
      <c r="S1620" s="1"/>
      <c r="T1620"/>
      <c r="U1620"/>
      <c r="V1620"/>
    </row>
    <row r="1621" spans="1:22" s="53" customFormat="1" x14ac:dyDescent="0.35">
      <c r="A1621" s="2"/>
      <c r="B1621" s="3"/>
      <c r="C1621" s="3"/>
      <c r="D1621" s="3"/>
      <c r="E1621"/>
      <c r="F1621"/>
      <c r="G1621"/>
      <c r="H1621" s="34"/>
      <c r="I1621"/>
      <c r="J1621"/>
      <c r="K1621"/>
      <c r="L1621"/>
      <c r="M1621"/>
      <c r="N1621"/>
      <c r="O1621"/>
      <c r="P1621"/>
      <c r="Q1621"/>
      <c r="R1621" s="8"/>
      <c r="S1621" s="1"/>
      <c r="T1621"/>
      <c r="U1621"/>
      <c r="V1621"/>
    </row>
    <row r="1622" spans="1:22" s="53" customFormat="1" x14ac:dyDescent="0.35">
      <c r="A1622" s="2"/>
      <c r="B1622" s="3"/>
      <c r="C1622" s="3"/>
      <c r="D1622" s="3"/>
      <c r="E1622"/>
      <c r="F1622"/>
      <c r="G1622"/>
      <c r="H1622" s="34"/>
      <c r="I1622"/>
      <c r="J1622"/>
      <c r="K1622"/>
      <c r="L1622"/>
      <c r="M1622"/>
      <c r="N1622"/>
      <c r="O1622"/>
      <c r="P1622"/>
      <c r="Q1622"/>
      <c r="R1622" s="8"/>
      <c r="S1622" s="1"/>
      <c r="T1622"/>
      <c r="U1622"/>
      <c r="V1622"/>
    </row>
    <row r="1623" spans="1:22" s="53" customFormat="1" x14ac:dyDescent="0.35">
      <c r="A1623" s="2"/>
      <c r="B1623" s="3"/>
      <c r="C1623" s="3"/>
      <c r="D1623" s="3"/>
      <c r="E1623"/>
      <c r="F1623"/>
      <c r="G1623"/>
      <c r="H1623" s="34"/>
      <c r="I1623"/>
      <c r="J1623"/>
      <c r="K1623"/>
      <c r="L1623"/>
      <c r="M1623"/>
      <c r="N1623"/>
      <c r="O1623"/>
      <c r="P1623"/>
      <c r="Q1623"/>
      <c r="R1623" s="8"/>
      <c r="S1623" s="1"/>
      <c r="T1623"/>
      <c r="U1623"/>
      <c r="V1623"/>
    </row>
    <row r="1624" spans="1:22" s="53" customFormat="1" x14ac:dyDescent="0.35">
      <c r="A1624" s="2"/>
      <c r="B1624" s="3"/>
      <c r="C1624" s="3"/>
      <c r="D1624" s="3"/>
      <c r="E1624"/>
      <c r="F1624"/>
      <c r="G1624"/>
      <c r="H1624" s="34"/>
      <c r="I1624"/>
      <c r="J1624"/>
      <c r="K1624"/>
      <c r="L1624"/>
      <c r="M1624"/>
      <c r="N1624"/>
      <c r="O1624"/>
      <c r="P1624"/>
      <c r="Q1624"/>
      <c r="R1624" s="8"/>
      <c r="S1624" s="1"/>
      <c r="T1624"/>
      <c r="U1624"/>
      <c r="V1624"/>
    </row>
    <row r="1625" spans="1:22" s="53" customFormat="1" x14ac:dyDescent="0.35">
      <c r="A1625" s="2"/>
      <c r="B1625" s="3"/>
      <c r="C1625" s="3"/>
      <c r="D1625" s="3"/>
      <c r="E1625"/>
      <c r="F1625"/>
      <c r="G1625"/>
      <c r="H1625" s="34"/>
      <c r="I1625"/>
      <c r="J1625"/>
      <c r="K1625"/>
      <c r="L1625"/>
      <c r="M1625"/>
      <c r="N1625"/>
      <c r="O1625"/>
      <c r="P1625"/>
      <c r="Q1625"/>
      <c r="R1625" s="8"/>
      <c r="S1625" s="1"/>
      <c r="T1625"/>
      <c r="U1625"/>
      <c r="V1625"/>
    </row>
    <row r="1626" spans="1:22" s="53" customFormat="1" x14ac:dyDescent="0.35">
      <c r="A1626" s="2"/>
      <c r="B1626" s="3"/>
      <c r="C1626" s="3"/>
      <c r="D1626" s="3"/>
      <c r="E1626"/>
      <c r="F1626"/>
      <c r="G1626"/>
      <c r="H1626" s="34"/>
      <c r="I1626"/>
      <c r="J1626"/>
      <c r="K1626"/>
      <c r="L1626"/>
      <c r="M1626"/>
      <c r="N1626"/>
      <c r="O1626"/>
      <c r="P1626"/>
      <c r="Q1626"/>
      <c r="R1626" s="8"/>
      <c r="S1626" s="1"/>
      <c r="T1626"/>
      <c r="U1626"/>
      <c r="V1626"/>
    </row>
    <row r="1627" spans="1:22" s="53" customFormat="1" x14ac:dyDescent="0.35">
      <c r="A1627" s="2"/>
      <c r="B1627" s="3"/>
      <c r="C1627" s="3"/>
      <c r="D1627" s="3"/>
      <c r="E1627"/>
      <c r="F1627"/>
      <c r="G1627"/>
      <c r="H1627" s="34"/>
      <c r="I1627"/>
      <c r="J1627"/>
      <c r="K1627"/>
      <c r="L1627"/>
      <c r="M1627"/>
      <c r="N1627"/>
      <c r="O1627"/>
      <c r="P1627"/>
      <c r="Q1627"/>
      <c r="R1627" s="8"/>
      <c r="S1627" s="1"/>
      <c r="T1627"/>
      <c r="U1627"/>
      <c r="V1627"/>
    </row>
    <row r="1628" spans="1:22" s="53" customFormat="1" x14ac:dyDescent="0.35">
      <c r="A1628" s="2"/>
      <c r="B1628" s="3"/>
      <c r="C1628" s="3"/>
      <c r="D1628" s="3"/>
      <c r="E1628"/>
      <c r="F1628"/>
      <c r="G1628"/>
      <c r="H1628" s="34"/>
      <c r="I1628"/>
      <c r="J1628"/>
      <c r="K1628"/>
      <c r="L1628"/>
      <c r="M1628"/>
      <c r="N1628"/>
      <c r="O1628"/>
      <c r="P1628"/>
      <c r="Q1628"/>
      <c r="R1628" s="8"/>
      <c r="S1628" s="1"/>
      <c r="T1628"/>
      <c r="U1628"/>
      <c r="V1628"/>
    </row>
    <row r="1629" spans="1:22" s="53" customFormat="1" x14ac:dyDescent="0.35">
      <c r="A1629" s="2"/>
      <c r="B1629" s="3"/>
      <c r="C1629" s="3"/>
      <c r="D1629" s="3"/>
      <c r="E1629"/>
      <c r="F1629"/>
      <c r="G1629"/>
      <c r="H1629" s="34"/>
      <c r="I1629"/>
      <c r="J1629"/>
      <c r="K1629"/>
      <c r="L1629"/>
      <c r="M1629"/>
      <c r="N1629"/>
      <c r="O1629"/>
      <c r="P1629"/>
      <c r="Q1629"/>
      <c r="R1629" s="8"/>
      <c r="S1629" s="1"/>
      <c r="T1629"/>
      <c r="U1629"/>
      <c r="V1629"/>
    </row>
    <row r="1630" spans="1:22" s="53" customFormat="1" x14ac:dyDescent="0.35">
      <c r="A1630" s="2"/>
      <c r="B1630" s="3"/>
      <c r="C1630" s="3"/>
      <c r="D1630" s="3"/>
      <c r="E1630"/>
      <c r="F1630"/>
      <c r="G1630"/>
      <c r="H1630" s="34"/>
      <c r="I1630"/>
      <c r="J1630"/>
      <c r="K1630"/>
      <c r="L1630"/>
      <c r="M1630"/>
      <c r="N1630"/>
      <c r="O1630"/>
      <c r="P1630"/>
      <c r="Q1630"/>
      <c r="R1630" s="8"/>
      <c r="S1630" s="1"/>
      <c r="T1630"/>
      <c r="U1630"/>
      <c r="V1630"/>
    </row>
    <row r="1631" spans="1:22" s="53" customFormat="1" x14ac:dyDescent="0.35">
      <c r="A1631" s="2"/>
      <c r="B1631" s="3"/>
      <c r="C1631" s="3"/>
      <c r="D1631" s="3"/>
      <c r="E1631"/>
      <c r="F1631"/>
      <c r="G1631"/>
      <c r="H1631" s="34"/>
      <c r="I1631"/>
      <c r="J1631"/>
      <c r="K1631"/>
      <c r="L1631"/>
      <c r="M1631"/>
      <c r="N1631"/>
      <c r="O1631"/>
      <c r="P1631"/>
      <c r="Q1631"/>
      <c r="R1631" s="8"/>
      <c r="S1631" s="1"/>
      <c r="T1631"/>
      <c r="U1631"/>
      <c r="V1631"/>
    </row>
    <row r="1632" spans="1:22" s="53" customFormat="1" x14ac:dyDescent="0.35">
      <c r="A1632" s="2"/>
      <c r="B1632" s="3"/>
      <c r="C1632" s="3"/>
      <c r="D1632" s="3"/>
      <c r="E1632"/>
      <c r="F1632"/>
      <c r="G1632"/>
      <c r="H1632" s="34"/>
      <c r="I1632"/>
      <c r="J1632"/>
      <c r="K1632"/>
      <c r="L1632"/>
      <c r="M1632"/>
      <c r="N1632"/>
      <c r="O1632"/>
      <c r="P1632"/>
      <c r="Q1632"/>
      <c r="R1632" s="8"/>
      <c r="S1632" s="1"/>
      <c r="T1632"/>
      <c r="U1632"/>
      <c r="V1632"/>
    </row>
    <row r="1633" spans="1:22" s="53" customFormat="1" x14ac:dyDescent="0.35">
      <c r="A1633" s="2"/>
      <c r="B1633" s="3"/>
      <c r="C1633" s="3"/>
      <c r="D1633" s="3"/>
      <c r="E1633"/>
      <c r="F1633"/>
      <c r="G1633"/>
      <c r="H1633" s="34"/>
      <c r="I1633"/>
      <c r="J1633"/>
      <c r="K1633"/>
      <c r="L1633"/>
      <c r="M1633"/>
      <c r="N1633"/>
      <c r="O1633"/>
      <c r="P1633"/>
      <c r="Q1633"/>
      <c r="R1633" s="8"/>
      <c r="S1633" s="1"/>
      <c r="T1633"/>
      <c r="U1633"/>
      <c r="V1633"/>
    </row>
    <row r="1634" spans="1:22" s="53" customFormat="1" x14ac:dyDescent="0.35">
      <c r="A1634" s="2"/>
      <c r="B1634" s="3"/>
      <c r="C1634" s="3"/>
      <c r="D1634" s="3"/>
      <c r="E1634"/>
      <c r="F1634"/>
      <c r="G1634"/>
      <c r="H1634" s="34"/>
      <c r="I1634"/>
      <c r="J1634"/>
      <c r="K1634"/>
      <c r="L1634"/>
      <c r="M1634"/>
      <c r="N1634"/>
      <c r="O1634"/>
      <c r="P1634"/>
      <c r="Q1634"/>
      <c r="R1634" s="8"/>
      <c r="S1634" s="1"/>
      <c r="T1634"/>
      <c r="U1634"/>
      <c r="V1634"/>
    </row>
    <row r="1635" spans="1:22" s="53" customFormat="1" x14ac:dyDescent="0.35">
      <c r="A1635" s="2"/>
      <c r="B1635" s="3"/>
      <c r="C1635" s="3"/>
      <c r="D1635" s="3"/>
      <c r="E1635"/>
      <c r="F1635"/>
      <c r="G1635"/>
      <c r="H1635" s="34"/>
      <c r="I1635"/>
      <c r="J1635"/>
      <c r="K1635"/>
      <c r="L1635"/>
      <c r="M1635"/>
      <c r="N1635"/>
      <c r="O1635"/>
      <c r="P1635"/>
      <c r="Q1635"/>
      <c r="R1635" s="8"/>
      <c r="S1635" s="1"/>
      <c r="T1635"/>
      <c r="U1635"/>
      <c r="V1635"/>
    </row>
    <row r="1636" spans="1:22" s="53" customFormat="1" x14ac:dyDescent="0.35">
      <c r="A1636" s="2"/>
      <c r="B1636" s="3"/>
      <c r="C1636" s="3"/>
      <c r="D1636" s="3"/>
      <c r="E1636"/>
      <c r="F1636"/>
      <c r="G1636"/>
      <c r="H1636" s="34"/>
      <c r="I1636"/>
      <c r="J1636"/>
      <c r="K1636"/>
      <c r="L1636"/>
      <c r="M1636"/>
      <c r="N1636"/>
      <c r="O1636"/>
      <c r="P1636"/>
      <c r="Q1636"/>
      <c r="R1636" s="8"/>
      <c r="S1636" s="1"/>
      <c r="T1636"/>
      <c r="U1636"/>
      <c r="V1636"/>
    </row>
    <row r="1637" spans="1:22" s="53" customFormat="1" x14ac:dyDescent="0.35">
      <c r="A1637" s="2"/>
      <c r="B1637" s="3"/>
      <c r="C1637" s="3"/>
      <c r="D1637" s="3"/>
      <c r="E1637"/>
      <c r="F1637"/>
      <c r="G1637"/>
      <c r="H1637" s="34"/>
      <c r="I1637"/>
      <c r="J1637"/>
      <c r="K1637"/>
      <c r="L1637"/>
      <c r="M1637"/>
      <c r="N1637"/>
      <c r="O1637"/>
      <c r="P1637"/>
      <c r="Q1637"/>
      <c r="R1637" s="8"/>
      <c r="S1637" s="1"/>
      <c r="T1637"/>
      <c r="U1637"/>
      <c r="V1637"/>
    </row>
    <row r="1638" spans="1:22" s="53" customFormat="1" x14ac:dyDescent="0.35">
      <c r="A1638" s="2"/>
      <c r="B1638" s="3"/>
      <c r="C1638" s="3"/>
      <c r="D1638" s="3"/>
      <c r="E1638"/>
      <c r="F1638"/>
      <c r="G1638"/>
      <c r="H1638" s="34"/>
      <c r="I1638"/>
      <c r="J1638"/>
      <c r="K1638"/>
      <c r="L1638"/>
      <c r="M1638"/>
      <c r="N1638"/>
      <c r="O1638"/>
      <c r="P1638"/>
      <c r="Q1638"/>
      <c r="R1638" s="8"/>
      <c r="S1638" s="1"/>
      <c r="T1638"/>
      <c r="U1638"/>
      <c r="V1638"/>
    </row>
    <row r="1639" spans="1:22" s="53" customFormat="1" x14ac:dyDescent="0.35">
      <c r="A1639" s="2"/>
      <c r="B1639" s="3"/>
      <c r="C1639" s="3"/>
      <c r="D1639" s="3"/>
      <c r="E1639"/>
      <c r="F1639"/>
      <c r="G1639"/>
      <c r="H1639" s="34"/>
      <c r="I1639"/>
      <c r="J1639"/>
      <c r="K1639"/>
      <c r="L1639"/>
      <c r="M1639"/>
      <c r="N1639"/>
      <c r="O1639"/>
      <c r="P1639"/>
      <c r="Q1639"/>
      <c r="R1639" s="8"/>
      <c r="S1639" s="1"/>
      <c r="T1639"/>
      <c r="U1639"/>
      <c r="V1639"/>
    </row>
    <row r="1640" spans="1:22" s="53" customFormat="1" x14ac:dyDescent="0.35">
      <c r="A1640" s="2"/>
      <c r="B1640" s="3"/>
      <c r="C1640" s="3"/>
      <c r="D1640" s="3"/>
      <c r="E1640"/>
      <c r="F1640"/>
      <c r="G1640"/>
      <c r="H1640" s="34"/>
      <c r="I1640"/>
      <c r="J1640"/>
      <c r="K1640"/>
      <c r="L1640"/>
      <c r="M1640"/>
      <c r="N1640"/>
      <c r="O1640"/>
      <c r="P1640"/>
      <c r="Q1640"/>
      <c r="R1640" s="8"/>
      <c r="S1640" s="1"/>
      <c r="T1640"/>
      <c r="U1640"/>
      <c r="V1640"/>
    </row>
    <row r="1641" spans="1:22" s="53" customFormat="1" x14ac:dyDescent="0.35">
      <c r="A1641" s="2"/>
      <c r="B1641" s="3"/>
      <c r="C1641" s="3"/>
      <c r="D1641" s="3"/>
      <c r="E1641"/>
      <c r="F1641"/>
      <c r="G1641"/>
      <c r="H1641" s="34"/>
      <c r="I1641"/>
      <c r="J1641"/>
      <c r="K1641"/>
      <c r="L1641"/>
      <c r="M1641"/>
      <c r="N1641"/>
      <c r="O1641"/>
      <c r="P1641"/>
      <c r="Q1641"/>
      <c r="R1641" s="8"/>
      <c r="S1641" s="1"/>
      <c r="T1641"/>
      <c r="U1641"/>
      <c r="V1641"/>
    </row>
    <row r="1642" spans="1:22" s="53" customFormat="1" x14ac:dyDescent="0.35">
      <c r="A1642" s="2"/>
      <c r="B1642" s="3"/>
      <c r="C1642" s="3"/>
      <c r="D1642" s="3"/>
      <c r="E1642"/>
      <c r="F1642"/>
      <c r="G1642"/>
      <c r="H1642" s="34"/>
      <c r="I1642"/>
      <c r="J1642"/>
      <c r="K1642"/>
      <c r="L1642"/>
      <c r="M1642"/>
      <c r="N1642"/>
      <c r="O1642"/>
      <c r="P1642"/>
      <c r="Q1642"/>
      <c r="R1642" s="8"/>
      <c r="S1642" s="1"/>
      <c r="T1642"/>
      <c r="U1642"/>
      <c r="V1642"/>
    </row>
    <row r="1643" spans="1:22" s="53" customFormat="1" x14ac:dyDescent="0.35">
      <c r="A1643" s="2"/>
      <c r="B1643" s="3"/>
      <c r="C1643" s="3"/>
      <c r="D1643" s="3"/>
      <c r="E1643"/>
      <c r="F1643"/>
      <c r="G1643"/>
      <c r="H1643" s="34"/>
      <c r="I1643"/>
      <c r="J1643"/>
      <c r="K1643"/>
      <c r="L1643"/>
      <c r="M1643"/>
      <c r="N1643"/>
      <c r="O1643"/>
      <c r="P1643"/>
      <c r="Q1643"/>
      <c r="R1643" s="8"/>
      <c r="S1643" s="1"/>
      <c r="T1643"/>
      <c r="U1643"/>
      <c r="V1643"/>
    </row>
    <row r="1644" spans="1:22" s="53" customFormat="1" x14ac:dyDescent="0.35">
      <c r="A1644" s="2"/>
      <c r="B1644" s="3"/>
      <c r="C1644" s="3"/>
      <c r="D1644" s="3"/>
      <c r="E1644"/>
      <c r="F1644"/>
      <c r="G1644"/>
      <c r="H1644" s="34"/>
      <c r="I1644"/>
      <c r="J1644"/>
      <c r="K1644"/>
      <c r="L1644"/>
      <c r="M1644"/>
      <c r="N1644"/>
      <c r="O1644"/>
      <c r="P1644"/>
      <c r="Q1644"/>
      <c r="R1644" s="8"/>
      <c r="S1644" s="1"/>
      <c r="T1644"/>
      <c r="U1644"/>
      <c r="V1644"/>
    </row>
    <row r="1645" spans="1:22" s="53" customFormat="1" x14ac:dyDescent="0.35">
      <c r="A1645" s="2"/>
      <c r="B1645" s="3"/>
      <c r="C1645" s="3"/>
      <c r="D1645" s="3"/>
      <c r="E1645"/>
      <c r="F1645"/>
      <c r="G1645"/>
      <c r="H1645" s="34"/>
      <c r="I1645"/>
      <c r="J1645"/>
      <c r="K1645"/>
      <c r="L1645"/>
      <c r="M1645"/>
      <c r="N1645"/>
      <c r="O1645"/>
      <c r="P1645"/>
      <c r="Q1645"/>
      <c r="R1645" s="8"/>
      <c r="S1645" s="1"/>
      <c r="T1645"/>
      <c r="U1645"/>
      <c r="V1645"/>
    </row>
    <row r="1646" spans="1:22" s="53" customFormat="1" x14ac:dyDescent="0.35">
      <c r="A1646" s="2"/>
      <c r="B1646" s="3"/>
      <c r="C1646" s="3"/>
      <c r="D1646" s="3"/>
      <c r="E1646"/>
      <c r="F1646"/>
      <c r="G1646"/>
      <c r="H1646" s="34"/>
      <c r="I1646"/>
      <c r="J1646"/>
      <c r="K1646"/>
      <c r="L1646"/>
      <c r="M1646"/>
      <c r="N1646"/>
      <c r="O1646"/>
      <c r="P1646"/>
      <c r="Q1646"/>
      <c r="R1646" s="8"/>
      <c r="S1646" s="1"/>
      <c r="T1646"/>
      <c r="U1646"/>
      <c r="V1646"/>
    </row>
    <row r="1647" spans="1:22" s="53" customFormat="1" x14ac:dyDescent="0.35">
      <c r="A1647" s="2"/>
      <c r="B1647" s="3"/>
      <c r="C1647" s="3"/>
      <c r="D1647" s="3"/>
      <c r="E1647"/>
      <c r="F1647"/>
      <c r="G1647"/>
      <c r="H1647" s="34"/>
      <c r="I1647"/>
      <c r="J1647"/>
      <c r="K1647"/>
      <c r="L1647"/>
      <c r="M1647"/>
      <c r="N1647"/>
      <c r="O1647"/>
      <c r="P1647"/>
      <c r="Q1647"/>
      <c r="R1647" s="8"/>
      <c r="S1647" s="1"/>
      <c r="T1647"/>
      <c r="U1647"/>
      <c r="V1647"/>
    </row>
    <row r="1648" spans="1:22" s="53" customFormat="1" x14ac:dyDescent="0.35">
      <c r="A1648" s="2"/>
      <c r="B1648" s="3"/>
      <c r="C1648" s="3"/>
      <c r="D1648" s="3"/>
      <c r="E1648"/>
      <c r="F1648"/>
      <c r="G1648"/>
      <c r="H1648" s="34"/>
      <c r="I1648"/>
      <c r="J1648"/>
      <c r="K1648"/>
      <c r="L1648"/>
      <c r="M1648"/>
      <c r="N1648"/>
      <c r="O1648"/>
      <c r="P1648"/>
      <c r="Q1648"/>
      <c r="R1648" s="8"/>
      <c r="S1648" s="1"/>
      <c r="T1648"/>
      <c r="U1648"/>
      <c r="V1648"/>
    </row>
    <row r="1649" spans="1:22" s="53" customFormat="1" x14ac:dyDescent="0.35">
      <c r="A1649" s="2"/>
      <c r="B1649" s="3"/>
      <c r="C1649" s="3"/>
      <c r="D1649" s="3"/>
      <c r="E1649"/>
      <c r="F1649"/>
      <c r="G1649"/>
      <c r="H1649" s="34"/>
      <c r="I1649"/>
      <c r="J1649"/>
      <c r="K1649"/>
      <c r="L1649"/>
      <c r="M1649"/>
      <c r="N1649"/>
      <c r="O1649"/>
      <c r="P1649"/>
      <c r="Q1649"/>
      <c r="R1649" s="8"/>
      <c r="S1649" s="1"/>
      <c r="T1649"/>
      <c r="U1649"/>
      <c r="V1649"/>
    </row>
    <row r="1650" spans="1:22" s="53" customFormat="1" x14ac:dyDescent="0.35">
      <c r="A1650" s="2"/>
      <c r="B1650" s="3"/>
      <c r="C1650" s="3"/>
      <c r="D1650" s="3"/>
      <c r="E1650"/>
      <c r="F1650"/>
      <c r="G1650"/>
      <c r="H1650" s="34"/>
      <c r="I1650"/>
      <c r="J1650"/>
      <c r="K1650"/>
      <c r="L1650"/>
      <c r="M1650"/>
      <c r="N1650"/>
      <c r="O1650"/>
      <c r="P1650"/>
      <c r="Q1650"/>
      <c r="R1650" s="8"/>
      <c r="S1650" s="1"/>
      <c r="T1650"/>
      <c r="U1650"/>
      <c r="V1650"/>
    </row>
    <row r="1651" spans="1:22" s="53" customFormat="1" x14ac:dyDescent="0.35">
      <c r="A1651" s="2"/>
      <c r="B1651" s="3"/>
      <c r="C1651" s="3"/>
      <c r="D1651" s="3"/>
      <c r="E1651"/>
      <c r="F1651"/>
      <c r="G1651"/>
      <c r="H1651" s="34"/>
      <c r="I1651"/>
      <c r="J1651"/>
      <c r="K1651"/>
      <c r="L1651"/>
      <c r="M1651"/>
      <c r="N1651"/>
      <c r="O1651"/>
      <c r="P1651"/>
      <c r="Q1651"/>
      <c r="R1651" s="8"/>
      <c r="S1651" s="1"/>
      <c r="T1651"/>
      <c r="U1651"/>
      <c r="V1651"/>
    </row>
    <row r="1652" spans="1:22" s="53" customFormat="1" x14ac:dyDescent="0.35">
      <c r="A1652" s="2"/>
      <c r="B1652" s="3"/>
      <c r="C1652" s="3"/>
      <c r="D1652" s="3"/>
      <c r="E1652"/>
      <c r="F1652"/>
      <c r="G1652"/>
      <c r="H1652" s="34"/>
      <c r="I1652"/>
      <c r="J1652"/>
      <c r="K1652"/>
      <c r="L1652"/>
      <c r="M1652"/>
      <c r="N1652"/>
      <c r="O1652"/>
      <c r="P1652"/>
      <c r="Q1652"/>
      <c r="R1652" s="8"/>
      <c r="S1652" s="1"/>
      <c r="T1652"/>
      <c r="U1652"/>
      <c r="V1652"/>
    </row>
    <row r="1653" spans="1:22" s="53" customFormat="1" x14ac:dyDescent="0.35">
      <c r="A1653" s="2"/>
      <c r="B1653" s="3"/>
      <c r="C1653" s="3"/>
      <c r="D1653" s="3"/>
      <c r="E1653"/>
      <c r="F1653"/>
      <c r="G1653"/>
      <c r="H1653" s="34"/>
      <c r="I1653"/>
      <c r="J1653"/>
      <c r="K1653"/>
      <c r="L1653"/>
      <c r="M1653"/>
      <c r="N1653"/>
      <c r="O1653"/>
      <c r="P1653"/>
      <c r="Q1653"/>
      <c r="R1653" s="8"/>
      <c r="S1653" s="1"/>
      <c r="T1653"/>
      <c r="U1653"/>
      <c r="V1653"/>
    </row>
    <row r="1654" spans="1:22" s="53" customFormat="1" x14ac:dyDescent="0.35">
      <c r="A1654" s="2"/>
      <c r="B1654" s="3"/>
      <c r="C1654" s="3"/>
      <c r="D1654" s="3"/>
      <c r="E1654"/>
      <c r="F1654"/>
      <c r="G1654"/>
      <c r="H1654" s="34"/>
      <c r="I1654"/>
      <c r="J1654"/>
      <c r="K1654"/>
      <c r="L1654"/>
      <c r="M1654"/>
      <c r="N1654"/>
      <c r="O1654"/>
      <c r="P1654"/>
      <c r="Q1654"/>
      <c r="R1654" s="8"/>
      <c r="S1654" s="1"/>
      <c r="T1654"/>
      <c r="U1654"/>
      <c r="V1654"/>
    </row>
    <row r="1655" spans="1:22" s="53" customFormat="1" x14ac:dyDescent="0.35">
      <c r="A1655" s="2"/>
      <c r="B1655" s="3"/>
      <c r="C1655" s="3"/>
      <c r="D1655" s="3"/>
      <c r="E1655"/>
      <c r="F1655"/>
      <c r="G1655"/>
      <c r="H1655" s="34"/>
      <c r="I1655"/>
      <c r="J1655"/>
      <c r="K1655"/>
      <c r="L1655"/>
      <c r="M1655"/>
      <c r="N1655"/>
      <c r="O1655"/>
      <c r="P1655"/>
      <c r="Q1655"/>
      <c r="R1655" s="8"/>
      <c r="S1655" s="1"/>
      <c r="T1655"/>
      <c r="U1655"/>
      <c r="V1655"/>
    </row>
    <row r="1656" spans="1:22" s="53" customFormat="1" x14ac:dyDescent="0.35">
      <c r="A1656" s="2"/>
      <c r="B1656" s="3"/>
      <c r="C1656" s="3"/>
      <c r="D1656" s="3"/>
      <c r="E1656"/>
      <c r="F1656"/>
      <c r="G1656"/>
      <c r="H1656" s="34"/>
      <c r="I1656"/>
      <c r="J1656"/>
      <c r="K1656"/>
      <c r="L1656"/>
      <c r="M1656"/>
      <c r="N1656"/>
      <c r="O1656"/>
      <c r="P1656"/>
      <c r="Q1656"/>
      <c r="R1656" s="8"/>
      <c r="S1656" s="1"/>
      <c r="T1656"/>
      <c r="U1656"/>
      <c r="V1656"/>
    </row>
    <row r="1657" spans="1:22" s="53" customFormat="1" x14ac:dyDescent="0.35">
      <c r="A1657" s="2"/>
      <c r="B1657" s="3"/>
      <c r="C1657" s="3"/>
      <c r="D1657" s="3"/>
      <c r="E1657"/>
      <c r="F1657"/>
      <c r="G1657"/>
      <c r="H1657" s="34"/>
      <c r="I1657"/>
      <c r="J1657"/>
      <c r="K1657"/>
      <c r="L1657"/>
      <c r="M1657"/>
      <c r="N1657"/>
      <c r="O1657"/>
      <c r="P1657"/>
      <c r="Q1657"/>
      <c r="R1657" s="8"/>
      <c r="S1657" s="1"/>
      <c r="T1657"/>
      <c r="U1657"/>
      <c r="V1657"/>
    </row>
    <row r="1658" spans="1:22" s="53" customFormat="1" x14ac:dyDescent="0.35">
      <c r="A1658" s="2"/>
      <c r="B1658" s="3"/>
      <c r="C1658" s="3"/>
      <c r="D1658" s="3"/>
      <c r="E1658"/>
      <c r="F1658"/>
      <c r="G1658"/>
      <c r="H1658" s="34"/>
      <c r="I1658"/>
      <c r="J1658"/>
      <c r="K1658"/>
      <c r="L1658"/>
      <c r="M1658"/>
      <c r="N1658"/>
      <c r="O1658"/>
      <c r="P1658"/>
      <c r="Q1658"/>
      <c r="R1658" s="8"/>
      <c r="S1658" s="1"/>
      <c r="T1658"/>
      <c r="U1658"/>
      <c r="V1658"/>
    </row>
    <row r="1659" spans="1:22" s="53" customFormat="1" x14ac:dyDescent="0.35">
      <c r="A1659" s="2"/>
      <c r="B1659" s="3"/>
      <c r="C1659" s="3"/>
      <c r="D1659" s="3"/>
      <c r="E1659"/>
      <c r="F1659"/>
      <c r="G1659"/>
      <c r="H1659" s="34"/>
      <c r="I1659"/>
      <c r="J1659"/>
      <c r="K1659"/>
      <c r="L1659"/>
      <c r="M1659"/>
      <c r="N1659"/>
      <c r="O1659"/>
      <c r="P1659"/>
      <c r="Q1659"/>
      <c r="R1659" s="8"/>
      <c r="S1659" s="1"/>
      <c r="T1659"/>
      <c r="U1659"/>
      <c r="V1659"/>
    </row>
    <row r="1660" spans="1:22" s="53" customFormat="1" x14ac:dyDescent="0.35">
      <c r="A1660" s="2"/>
      <c r="B1660" s="3"/>
      <c r="C1660" s="3"/>
      <c r="D1660" s="3"/>
      <c r="E1660"/>
      <c r="F1660"/>
      <c r="G1660"/>
      <c r="H1660" s="34"/>
      <c r="I1660"/>
      <c r="J1660"/>
      <c r="K1660"/>
      <c r="L1660"/>
      <c r="M1660"/>
      <c r="N1660"/>
      <c r="O1660"/>
      <c r="P1660"/>
      <c r="Q1660"/>
      <c r="R1660" s="8"/>
      <c r="S1660" s="1"/>
      <c r="T1660"/>
      <c r="U1660"/>
      <c r="V1660"/>
    </row>
    <row r="1661" spans="1:22" s="53" customFormat="1" x14ac:dyDescent="0.35">
      <c r="A1661" s="2"/>
      <c r="B1661" s="3"/>
      <c r="C1661" s="3"/>
      <c r="D1661" s="3"/>
      <c r="E1661"/>
      <c r="F1661"/>
      <c r="G1661"/>
      <c r="H1661" s="34"/>
      <c r="I1661"/>
      <c r="J1661"/>
      <c r="K1661"/>
      <c r="L1661"/>
      <c r="M1661"/>
      <c r="N1661"/>
      <c r="O1661"/>
      <c r="P1661"/>
      <c r="Q1661"/>
      <c r="R1661" s="8"/>
      <c r="S1661" s="1"/>
      <c r="T1661"/>
      <c r="U1661"/>
      <c r="V1661"/>
    </row>
    <row r="1662" spans="1:22" s="53" customFormat="1" x14ac:dyDescent="0.35">
      <c r="A1662" s="2"/>
      <c r="B1662" s="3"/>
      <c r="C1662" s="3"/>
      <c r="D1662" s="3"/>
      <c r="E1662"/>
      <c r="F1662"/>
      <c r="G1662"/>
      <c r="H1662" s="34"/>
      <c r="I1662"/>
      <c r="J1662"/>
      <c r="K1662"/>
      <c r="L1662"/>
      <c r="M1662"/>
      <c r="N1662"/>
      <c r="O1662"/>
      <c r="P1662"/>
      <c r="Q1662"/>
      <c r="R1662" s="8"/>
      <c r="S1662" s="1"/>
      <c r="T1662"/>
      <c r="U1662"/>
      <c r="V1662"/>
    </row>
    <row r="1663" spans="1:22" s="53" customFormat="1" x14ac:dyDescent="0.35">
      <c r="A1663" s="2"/>
      <c r="B1663" s="3"/>
      <c r="C1663" s="3"/>
      <c r="D1663" s="3"/>
      <c r="E1663"/>
      <c r="F1663"/>
      <c r="G1663"/>
      <c r="H1663" s="34"/>
      <c r="I1663"/>
      <c r="J1663"/>
      <c r="K1663"/>
      <c r="L1663"/>
      <c r="M1663"/>
      <c r="N1663"/>
      <c r="O1663"/>
      <c r="P1663"/>
      <c r="Q1663"/>
      <c r="R1663" s="8"/>
      <c r="S1663" s="1"/>
      <c r="T1663"/>
      <c r="U1663"/>
      <c r="V1663"/>
    </row>
    <row r="1664" spans="1:22" s="53" customFormat="1" x14ac:dyDescent="0.35">
      <c r="A1664" s="2"/>
      <c r="B1664" s="3"/>
      <c r="C1664" s="3"/>
      <c r="D1664" s="3"/>
      <c r="E1664"/>
      <c r="F1664"/>
      <c r="G1664"/>
      <c r="H1664" s="34"/>
      <c r="I1664"/>
      <c r="J1664"/>
      <c r="K1664"/>
      <c r="L1664"/>
      <c r="M1664"/>
      <c r="N1664"/>
      <c r="O1664"/>
      <c r="P1664"/>
      <c r="Q1664"/>
      <c r="R1664" s="8"/>
      <c r="S1664" s="1"/>
      <c r="T1664"/>
      <c r="U1664"/>
      <c r="V1664"/>
    </row>
    <row r="1665" spans="1:22" s="53" customFormat="1" x14ac:dyDescent="0.35">
      <c r="A1665" s="2"/>
      <c r="B1665" s="3"/>
      <c r="C1665" s="3"/>
      <c r="D1665" s="3"/>
      <c r="E1665"/>
      <c r="F1665"/>
      <c r="G1665"/>
      <c r="H1665" s="34"/>
      <c r="I1665"/>
      <c r="J1665"/>
      <c r="K1665"/>
      <c r="L1665"/>
      <c r="M1665"/>
      <c r="N1665"/>
      <c r="O1665"/>
      <c r="P1665"/>
      <c r="Q1665"/>
      <c r="R1665" s="8"/>
      <c r="S1665" s="1"/>
      <c r="T1665"/>
      <c r="U1665"/>
      <c r="V1665"/>
    </row>
    <row r="1666" spans="1:22" s="53" customFormat="1" x14ac:dyDescent="0.35">
      <c r="A1666" s="2"/>
      <c r="B1666" s="3"/>
      <c r="C1666" s="3"/>
      <c r="D1666" s="3"/>
      <c r="E1666"/>
      <c r="F1666"/>
      <c r="G1666"/>
      <c r="H1666" s="34"/>
      <c r="I1666"/>
      <c r="J1666"/>
      <c r="K1666"/>
      <c r="L1666"/>
      <c r="M1666"/>
      <c r="N1666"/>
      <c r="O1666"/>
      <c r="P1666"/>
      <c r="Q1666"/>
      <c r="R1666" s="8"/>
      <c r="S1666" s="1"/>
      <c r="T1666"/>
      <c r="U1666"/>
      <c r="V1666"/>
    </row>
    <row r="1667" spans="1:22" s="53" customFormat="1" x14ac:dyDescent="0.35">
      <c r="A1667" s="2"/>
      <c r="B1667" s="3"/>
      <c r="C1667" s="3"/>
      <c r="D1667" s="3"/>
      <c r="E1667"/>
      <c r="F1667"/>
      <c r="G1667"/>
      <c r="H1667" s="34"/>
      <c r="I1667"/>
      <c r="J1667"/>
      <c r="K1667"/>
      <c r="L1667"/>
      <c r="M1667"/>
      <c r="N1667"/>
      <c r="O1667"/>
      <c r="P1667"/>
      <c r="Q1667"/>
      <c r="R1667" s="8"/>
      <c r="S1667" s="1"/>
      <c r="T1667"/>
      <c r="U1667"/>
      <c r="V1667"/>
    </row>
    <row r="1668" spans="1:22" s="53" customFormat="1" x14ac:dyDescent="0.35">
      <c r="A1668" s="2"/>
      <c r="B1668" s="3"/>
      <c r="C1668" s="3"/>
      <c r="D1668" s="3"/>
      <c r="E1668"/>
      <c r="F1668"/>
      <c r="G1668"/>
      <c r="H1668" s="34"/>
      <c r="I1668"/>
      <c r="J1668"/>
      <c r="K1668"/>
      <c r="L1668"/>
      <c r="M1668"/>
      <c r="N1668"/>
      <c r="O1668"/>
      <c r="P1668"/>
      <c r="Q1668"/>
      <c r="R1668" s="8"/>
      <c r="S1668" s="1"/>
      <c r="T1668"/>
      <c r="U1668"/>
      <c r="V1668"/>
    </row>
    <row r="1669" spans="1:22" s="53" customFormat="1" x14ac:dyDescent="0.35">
      <c r="A1669" s="2"/>
      <c r="B1669" s="3"/>
      <c r="C1669" s="3"/>
      <c r="D1669" s="3"/>
      <c r="E1669"/>
      <c r="F1669"/>
      <c r="G1669"/>
      <c r="H1669" s="34"/>
      <c r="I1669"/>
      <c r="J1669"/>
      <c r="K1669"/>
      <c r="L1669"/>
      <c r="M1669"/>
      <c r="N1669"/>
      <c r="O1669"/>
      <c r="P1669"/>
      <c r="Q1669"/>
      <c r="R1669" s="8"/>
      <c r="S1669" s="1"/>
      <c r="T1669"/>
      <c r="U1669"/>
      <c r="V1669"/>
    </row>
    <row r="1670" spans="1:22" s="53" customFormat="1" x14ac:dyDescent="0.35">
      <c r="A1670" s="2"/>
      <c r="B1670" s="3"/>
      <c r="C1670" s="3"/>
      <c r="D1670" s="3"/>
      <c r="E1670"/>
      <c r="F1670"/>
      <c r="G1670"/>
      <c r="H1670" s="34"/>
      <c r="I1670"/>
      <c r="J1670"/>
      <c r="K1670"/>
      <c r="L1670"/>
      <c r="M1670"/>
      <c r="N1670"/>
      <c r="O1670"/>
      <c r="P1670"/>
      <c r="Q1670"/>
      <c r="R1670" s="8"/>
      <c r="S1670" s="1"/>
      <c r="T1670"/>
      <c r="U1670"/>
      <c r="V1670"/>
    </row>
    <row r="1671" spans="1:22" s="53" customFormat="1" x14ac:dyDescent="0.35">
      <c r="A1671" s="2"/>
      <c r="B1671" s="3"/>
      <c r="C1671" s="3"/>
      <c r="D1671" s="3"/>
      <c r="E1671"/>
      <c r="F1671"/>
      <c r="G1671"/>
      <c r="H1671" s="34"/>
      <c r="I1671"/>
      <c r="J1671"/>
      <c r="K1671"/>
      <c r="L1671"/>
      <c r="M1671"/>
      <c r="N1671"/>
      <c r="O1671"/>
      <c r="P1671"/>
      <c r="Q1671"/>
      <c r="R1671" s="8"/>
      <c r="S1671" s="1"/>
      <c r="T1671"/>
      <c r="U1671"/>
      <c r="V1671"/>
    </row>
    <row r="1672" spans="1:22" s="53" customFormat="1" x14ac:dyDescent="0.35">
      <c r="A1672" s="2"/>
      <c r="B1672" s="3"/>
      <c r="C1672" s="3"/>
      <c r="D1672" s="3"/>
      <c r="E1672"/>
      <c r="F1672"/>
      <c r="G1672"/>
      <c r="H1672" s="34"/>
      <c r="I1672"/>
      <c r="J1672"/>
      <c r="K1672"/>
      <c r="L1672"/>
      <c r="M1672"/>
      <c r="N1672"/>
      <c r="O1672"/>
      <c r="P1672"/>
      <c r="Q1672"/>
      <c r="R1672" s="8"/>
      <c r="S1672" s="1"/>
      <c r="T1672"/>
      <c r="U1672"/>
      <c r="V1672"/>
    </row>
    <row r="1673" spans="1:22" s="53" customFormat="1" x14ac:dyDescent="0.35">
      <c r="A1673" s="2"/>
      <c r="B1673" s="3"/>
      <c r="C1673" s="3"/>
      <c r="D1673" s="3"/>
      <c r="E1673"/>
      <c r="F1673"/>
      <c r="G1673"/>
      <c r="H1673" s="34"/>
      <c r="I1673"/>
      <c r="J1673"/>
      <c r="K1673"/>
      <c r="L1673"/>
      <c r="M1673"/>
      <c r="N1673"/>
      <c r="O1673"/>
      <c r="P1673"/>
      <c r="Q1673"/>
      <c r="R1673" s="8"/>
      <c r="S1673" s="1"/>
      <c r="T1673"/>
      <c r="U1673"/>
      <c r="V1673"/>
    </row>
    <row r="1674" spans="1:22" s="53" customFormat="1" x14ac:dyDescent="0.35">
      <c r="A1674" s="2"/>
      <c r="B1674" s="3"/>
      <c r="C1674" s="3"/>
      <c r="D1674" s="3"/>
      <c r="E1674"/>
      <c r="F1674"/>
      <c r="G1674"/>
      <c r="H1674" s="34"/>
      <c r="I1674"/>
      <c r="J1674"/>
      <c r="K1674"/>
      <c r="L1674"/>
      <c r="M1674"/>
      <c r="N1674"/>
      <c r="O1674"/>
      <c r="P1674"/>
      <c r="Q1674"/>
      <c r="R1674" s="8"/>
      <c r="S1674" s="1"/>
      <c r="T1674"/>
      <c r="U1674"/>
      <c r="V1674"/>
    </row>
    <row r="1675" spans="1:22" s="53" customFormat="1" x14ac:dyDescent="0.35">
      <c r="A1675" s="2"/>
      <c r="B1675" s="3"/>
      <c r="C1675" s="3"/>
      <c r="D1675" s="3"/>
      <c r="E1675"/>
      <c r="F1675"/>
      <c r="G1675"/>
      <c r="H1675" s="34"/>
      <c r="I1675"/>
      <c r="J1675"/>
      <c r="K1675"/>
      <c r="L1675"/>
      <c r="M1675"/>
      <c r="N1675"/>
      <c r="O1675"/>
      <c r="P1675"/>
      <c r="Q1675"/>
      <c r="R1675" s="8"/>
      <c r="S1675" s="1"/>
      <c r="T1675"/>
      <c r="U1675"/>
      <c r="V1675"/>
    </row>
    <row r="1676" spans="1:22" s="53" customFormat="1" x14ac:dyDescent="0.35">
      <c r="A1676" s="2"/>
      <c r="B1676" s="3"/>
      <c r="C1676" s="3"/>
      <c r="D1676" s="3"/>
      <c r="E1676"/>
      <c r="F1676"/>
      <c r="G1676"/>
      <c r="H1676" s="34"/>
      <c r="I1676"/>
      <c r="J1676"/>
      <c r="K1676"/>
      <c r="L1676"/>
      <c r="M1676"/>
      <c r="N1676"/>
      <c r="O1676"/>
      <c r="P1676"/>
      <c r="Q1676"/>
      <c r="R1676" s="8"/>
      <c r="S1676" s="1"/>
      <c r="T1676"/>
      <c r="U1676"/>
      <c r="V1676"/>
    </row>
    <row r="1677" spans="1:22" s="53" customFormat="1" x14ac:dyDescent="0.35">
      <c r="A1677" s="2"/>
      <c r="B1677" s="3"/>
      <c r="C1677" s="3"/>
      <c r="D1677" s="3"/>
      <c r="E1677"/>
      <c r="F1677"/>
      <c r="G1677"/>
      <c r="H1677" s="34"/>
      <c r="I1677"/>
      <c r="J1677"/>
      <c r="K1677"/>
      <c r="L1677"/>
      <c r="M1677"/>
      <c r="N1677"/>
      <c r="O1677"/>
      <c r="P1677"/>
      <c r="Q1677"/>
      <c r="R1677" s="8"/>
      <c r="S1677" s="1"/>
      <c r="T1677"/>
      <c r="U1677"/>
      <c r="V1677"/>
    </row>
    <row r="1678" spans="1:22" s="53" customFormat="1" x14ac:dyDescent="0.35">
      <c r="A1678" s="2"/>
      <c r="B1678" s="3"/>
      <c r="C1678" s="3"/>
      <c r="D1678" s="3"/>
      <c r="E1678"/>
      <c r="F1678"/>
      <c r="G1678"/>
      <c r="H1678" s="34"/>
      <c r="I1678"/>
      <c r="J1678"/>
      <c r="K1678"/>
      <c r="L1678"/>
      <c r="M1678"/>
      <c r="N1678"/>
      <c r="O1678"/>
      <c r="P1678"/>
      <c r="Q1678"/>
      <c r="R1678" s="8"/>
      <c r="S1678" s="1"/>
      <c r="T1678"/>
      <c r="U1678"/>
      <c r="V1678"/>
    </row>
    <row r="1679" spans="1:22" s="53" customFormat="1" x14ac:dyDescent="0.35">
      <c r="A1679" s="2"/>
      <c r="B1679" s="3"/>
      <c r="C1679" s="3"/>
      <c r="D1679" s="3"/>
      <c r="E1679"/>
      <c r="F1679"/>
      <c r="G1679"/>
      <c r="H1679" s="34"/>
      <c r="I1679"/>
      <c r="J1679"/>
      <c r="K1679"/>
      <c r="L1679"/>
      <c r="M1679"/>
      <c r="N1679"/>
      <c r="O1679"/>
      <c r="P1679"/>
      <c r="Q1679"/>
      <c r="R1679" s="8"/>
      <c r="S1679" s="1"/>
      <c r="T1679"/>
      <c r="U1679"/>
      <c r="V1679"/>
    </row>
    <row r="1680" spans="1:22" s="53" customFormat="1" x14ac:dyDescent="0.35">
      <c r="A1680" s="2"/>
      <c r="B1680" s="3"/>
      <c r="C1680" s="3"/>
      <c r="D1680" s="3"/>
      <c r="E1680"/>
      <c r="F1680"/>
      <c r="G1680"/>
      <c r="H1680" s="34"/>
      <c r="I1680"/>
      <c r="J1680"/>
      <c r="K1680"/>
      <c r="L1680"/>
      <c r="M1680"/>
      <c r="N1680"/>
      <c r="O1680"/>
      <c r="P1680"/>
      <c r="Q1680"/>
      <c r="R1680" s="8"/>
      <c r="S1680" s="1"/>
      <c r="T1680"/>
      <c r="U1680"/>
      <c r="V1680"/>
    </row>
    <row r="1681" spans="1:22" s="53" customFormat="1" x14ac:dyDescent="0.35">
      <c r="A1681" s="2"/>
      <c r="B1681" s="3"/>
      <c r="C1681" s="3"/>
      <c r="D1681" s="3"/>
      <c r="E1681"/>
      <c r="F1681"/>
      <c r="G1681"/>
      <c r="H1681" s="34"/>
      <c r="I1681"/>
      <c r="J1681"/>
      <c r="K1681"/>
      <c r="L1681"/>
      <c r="M1681"/>
      <c r="N1681"/>
      <c r="O1681"/>
      <c r="P1681"/>
      <c r="Q1681"/>
      <c r="R1681" s="8"/>
      <c r="S1681" s="1"/>
      <c r="T1681"/>
      <c r="U1681"/>
      <c r="V1681"/>
    </row>
    <row r="1682" spans="1:22" s="53" customFormat="1" x14ac:dyDescent="0.35">
      <c r="A1682" s="2"/>
      <c r="B1682" s="3"/>
      <c r="C1682" s="3"/>
      <c r="D1682" s="3"/>
      <c r="E1682"/>
      <c r="F1682"/>
      <c r="G1682"/>
      <c r="H1682" s="34"/>
      <c r="I1682"/>
      <c r="J1682"/>
      <c r="K1682"/>
      <c r="L1682"/>
      <c r="M1682"/>
      <c r="N1682"/>
      <c r="O1682"/>
      <c r="P1682"/>
      <c r="Q1682"/>
      <c r="R1682" s="8"/>
      <c r="S1682" s="1"/>
      <c r="T1682"/>
      <c r="U1682"/>
      <c r="V1682"/>
    </row>
    <row r="1683" spans="1:22" s="53" customFormat="1" x14ac:dyDescent="0.35">
      <c r="A1683" s="2"/>
      <c r="B1683" s="3"/>
      <c r="C1683" s="3"/>
      <c r="D1683" s="3"/>
      <c r="E1683"/>
      <c r="F1683"/>
      <c r="G1683"/>
      <c r="H1683" s="34"/>
      <c r="I1683"/>
      <c r="J1683"/>
      <c r="K1683"/>
      <c r="L1683"/>
      <c r="M1683"/>
      <c r="N1683"/>
      <c r="O1683"/>
      <c r="P1683"/>
      <c r="Q1683"/>
      <c r="R1683" s="8"/>
      <c r="S1683" s="1"/>
      <c r="T1683"/>
      <c r="U1683"/>
      <c r="V1683"/>
    </row>
    <row r="1684" spans="1:22" s="53" customFormat="1" x14ac:dyDescent="0.35">
      <c r="A1684" s="2"/>
      <c r="B1684" s="3"/>
      <c r="C1684" s="3"/>
      <c r="D1684" s="3"/>
      <c r="E1684"/>
      <c r="F1684"/>
      <c r="G1684"/>
      <c r="H1684" s="34"/>
      <c r="I1684"/>
      <c r="J1684"/>
      <c r="K1684"/>
      <c r="L1684"/>
      <c r="M1684"/>
      <c r="N1684"/>
      <c r="O1684"/>
      <c r="P1684"/>
      <c r="Q1684"/>
      <c r="R1684" s="8"/>
      <c r="S1684" s="1"/>
      <c r="T1684"/>
      <c r="U1684"/>
      <c r="V1684"/>
    </row>
    <row r="1685" spans="1:22" s="53" customFormat="1" x14ac:dyDescent="0.35">
      <c r="A1685" s="2"/>
      <c r="B1685" s="3"/>
      <c r="C1685" s="3"/>
      <c r="D1685" s="3"/>
      <c r="E1685"/>
      <c r="F1685"/>
      <c r="G1685"/>
      <c r="H1685" s="34"/>
      <c r="I1685"/>
      <c r="J1685"/>
      <c r="K1685"/>
      <c r="L1685"/>
      <c r="M1685"/>
      <c r="N1685"/>
      <c r="O1685"/>
      <c r="P1685"/>
      <c r="Q1685"/>
      <c r="R1685" s="8"/>
      <c r="S1685" s="1"/>
      <c r="T1685"/>
      <c r="U1685"/>
      <c r="V1685"/>
    </row>
    <row r="1686" spans="1:22" s="53" customFormat="1" x14ac:dyDescent="0.35">
      <c r="A1686" s="2"/>
      <c r="B1686" s="3"/>
      <c r="C1686" s="3"/>
      <c r="D1686" s="3"/>
      <c r="E1686"/>
      <c r="F1686"/>
      <c r="G1686"/>
      <c r="H1686" s="34"/>
      <c r="I1686"/>
      <c r="J1686"/>
      <c r="K1686"/>
      <c r="L1686"/>
      <c r="M1686"/>
      <c r="N1686"/>
      <c r="O1686"/>
      <c r="P1686"/>
      <c r="Q1686"/>
      <c r="R1686" s="8"/>
      <c r="S1686" s="1"/>
      <c r="T1686"/>
      <c r="U1686"/>
      <c r="V1686"/>
    </row>
    <row r="1687" spans="1:22" s="53" customFormat="1" x14ac:dyDescent="0.35">
      <c r="A1687" s="2"/>
      <c r="B1687" s="3"/>
      <c r="C1687" s="3"/>
      <c r="D1687" s="3"/>
      <c r="E1687"/>
      <c r="F1687"/>
      <c r="G1687"/>
      <c r="H1687" s="34"/>
      <c r="I1687"/>
      <c r="J1687"/>
      <c r="K1687"/>
      <c r="L1687"/>
      <c r="M1687"/>
      <c r="N1687"/>
      <c r="O1687"/>
      <c r="P1687"/>
      <c r="Q1687"/>
      <c r="R1687" s="8"/>
      <c r="S1687" s="1"/>
      <c r="T1687"/>
      <c r="U1687"/>
      <c r="V1687"/>
    </row>
    <row r="1688" spans="1:22" s="53" customFormat="1" x14ac:dyDescent="0.35">
      <c r="A1688" s="2"/>
      <c r="B1688" s="3"/>
      <c r="C1688" s="3"/>
      <c r="D1688" s="3"/>
      <c r="E1688"/>
      <c r="F1688"/>
      <c r="G1688"/>
      <c r="H1688" s="34"/>
      <c r="I1688"/>
      <c r="J1688"/>
      <c r="K1688"/>
      <c r="L1688"/>
      <c r="M1688"/>
      <c r="N1688"/>
      <c r="O1688"/>
      <c r="P1688"/>
      <c r="Q1688"/>
      <c r="R1688" s="8"/>
      <c r="S1688" s="1"/>
      <c r="T1688"/>
      <c r="U1688"/>
      <c r="V1688"/>
    </row>
    <row r="1689" spans="1:22" s="53" customFormat="1" x14ac:dyDescent="0.35">
      <c r="A1689" s="2"/>
      <c r="B1689" s="3"/>
      <c r="C1689" s="3"/>
      <c r="D1689" s="3"/>
      <c r="E1689"/>
      <c r="F1689"/>
      <c r="G1689"/>
      <c r="H1689" s="34"/>
      <c r="I1689"/>
      <c r="J1689"/>
      <c r="K1689"/>
      <c r="L1689"/>
      <c r="M1689"/>
      <c r="N1689"/>
      <c r="O1689"/>
      <c r="P1689"/>
      <c r="Q1689"/>
      <c r="R1689" s="8"/>
      <c r="S1689" s="1"/>
      <c r="T1689"/>
      <c r="U1689"/>
      <c r="V1689"/>
    </row>
    <row r="1690" spans="1:22" s="53" customFormat="1" x14ac:dyDescent="0.35">
      <c r="A1690" s="2"/>
      <c r="B1690" s="3"/>
      <c r="C1690" s="3"/>
      <c r="D1690" s="3"/>
      <c r="E1690"/>
      <c r="F1690"/>
      <c r="G1690"/>
      <c r="H1690" s="34"/>
      <c r="I1690"/>
      <c r="J1690"/>
      <c r="K1690"/>
      <c r="L1690"/>
      <c r="M1690"/>
      <c r="N1690"/>
      <c r="O1690"/>
      <c r="P1690"/>
      <c r="Q1690"/>
      <c r="R1690" s="8"/>
      <c r="S1690" s="1"/>
      <c r="T1690"/>
      <c r="U1690"/>
      <c r="V1690"/>
    </row>
    <row r="1691" spans="1:22" s="53" customFormat="1" x14ac:dyDescent="0.35">
      <c r="A1691" s="2"/>
      <c r="B1691" s="3"/>
      <c r="C1691" s="3"/>
      <c r="D1691" s="3"/>
      <c r="E1691"/>
      <c r="F1691"/>
      <c r="G1691"/>
      <c r="H1691" s="34"/>
      <c r="I1691"/>
      <c r="J1691"/>
      <c r="K1691"/>
      <c r="L1691"/>
      <c r="M1691"/>
      <c r="N1691"/>
      <c r="O1691"/>
      <c r="P1691"/>
      <c r="Q1691"/>
      <c r="R1691" s="8"/>
      <c r="S1691" s="1"/>
      <c r="T1691"/>
      <c r="U1691"/>
      <c r="V1691"/>
    </row>
    <row r="1692" spans="1:22" s="53" customFormat="1" x14ac:dyDescent="0.35">
      <c r="A1692" s="2"/>
      <c r="B1692" s="3"/>
      <c r="C1692" s="3"/>
      <c r="D1692" s="3"/>
      <c r="E1692"/>
      <c r="F1692"/>
      <c r="G1692"/>
      <c r="H1692" s="34"/>
      <c r="I1692"/>
      <c r="J1692"/>
      <c r="K1692"/>
      <c r="L1692"/>
      <c r="M1692"/>
      <c r="N1692"/>
      <c r="O1692"/>
      <c r="P1692"/>
      <c r="Q1692"/>
      <c r="R1692" s="8"/>
      <c r="S1692" s="1"/>
      <c r="T1692"/>
      <c r="U1692"/>
      <c r="V1692"/>
    </row>
    <row r="1693" spans="1:22" s="53" customFormat="1" x14ac:dyDescent="0.35">
      <c r="A1693" s="2"/>
      <c r="B1693" s="3"/>
      <c r="C1693" s="3"/>
      <c r="D1693" s="3"/>
      <c r="E1693"/>
      <c r="F1693"/>
      <c r="G1693"/>
      <c r="H1693" s="34"/>
      <c r="I1693"/>
      <c r="J1693"/>
      <c r="K1693"/>
      <c r="L1693"/>
      <c r="M1693"/>
      <c r="N1693"/>
      <c r="O1693"/>
      <c r="P1693"/>
      <c r="Q1693"/>
      <c r="R1693" s="8"/>
      <c r="S1693" s="1"/>
      <c r="T1693"/>
      <c r="U1693"/>
      <c r="V1693"/>
    </row>
    <row r="1694" spans="1:22" s="53" customFormat="1" x14ac:dyDescent="0.35">
      <c r="A1694" s="2"/>
      <c r="B1694" s="3"/>
      <c r="C1694" s="3"/>
      <c r="D1694" s="3"/>
      <c r="E1694"/>
      <c r="F1694"/>
      <c r="G1694"/>
      <c r="H1694" s="34"/>
      <c r="I1694"/>
      <c r="J1694"/>
      <c r="K1694"/>
      <c r="L1694"/>
      <c r="M1694"/>
      <c r="N1694"/>
      <c r="O1694"/>
      <c r="P1694"/>
      <c r="Q1694"/>
      <c r="R1694" s="8"/>
      <c r="S1694" s="1"/>
      <c r="T1694"/>
      <c r="U1694"/>
      <c r="V1694"/>
    </row>
    <row r="1695" spans="1:22" s="53" customFormat="1" x14ac:dyDescent="0.35">
      <c r="A1695" s="2"/>
      <c r="B1695" s="3"/>
      <c r="C1695" s="3"/>
      <c r="D1695" s="3"/>
      <c r="E1695"/>
      <c r="F1695"/>
      <c r="G1695"/>
      <c r="H1695" s="34"/>
      <c r="I1695"/>
      <c r="J1695"/>
      <c r="K1695"/>
      <c r="L1695"/>
      <c r="M1695"/>
      <c r="N1695"/>
      <c r="O1695"/>
      <c r="P1695"/>
      <c r="Q1695"/>
      <c r="R1695" s="8"/>
      <c r="S1695" s="1"/>
      <c r="T1695"/>
      <c r="U1695"/>
      <c r="V1695"/>
    </row>
    <row r="1696" spans="1:22" s="53" customFormat="1" x14ac:dyDescent="0.35">
      <c r="A1696" s="2"/>
      <c r="B1696" s="3"/>
      <c r="C1696" s="3"/>
      <c r="D1696" s="3"/>
      <c r="E1696"/>
      <c r="F1696"/>
      <c r="G1696"/>
      <c r="H1696" s="34"/>
      <c r="I1696"/>
      <c r="J1696"/>
      <c r="K1696"/>
      <c r="L1696"/>
      <c r="M1696"/>
      <c r="N1696"/>
      <c r="O1696"/>
      <c r="P1696"/>
      <c r="Q1696"/>
      <c r="R1696" s="8"/>
      <c r="S1696" s="1"/>
      <c r="T1696"/>
      <c r="U1696"/>
      <c r="V1696"/>
    </row>
    <row r="1697" spans="1:22" s="53" customFormat="1" x14ac:dyDescent="0.35">
      <c r="A1697" s="2"/>
      <c r="B1697" s="3"/>
      <c r="C1697" s="3"/>
      <c r="D1697" s="3"/>
      <c r="E1697"/>
      <c r="F1697"/>
      <c r="G1697"/>
      <c r="H1697" s="34"/>
      <c r="I1697"/>
      <c r="J1697"/>
      <c r="K1697"/>
      <c r="L1697"/>
      <c r="M1697"/>
      <c r="N1697"/>
      <c r="O1697"/>
      <c r="P1697"/>
      <c r="Q1697"/>
      <c r="R1697" s="8"/>
      <c r="S1697" s="1"/>
      <c r="T1697"/>
      <c r="U1697"/>
      <c r="V1697"/>
    </row>
    <row r="1698" spans="1:22" s="53" customFormat="1" x14ac:dyDescent="0.35">
      <c r="A1698" s="2"/>
      <c r="B1698" s="3"/>
      <c r="C1698" s="3"/>
      <c r="D1698" s="3"/>
      <c r="E1698"/>
      <c r="F1698"/>
      <c r="G1698"/>
      <c r="H1698" s="34"/>
      <c r="I1698"/>
      <c r="J1698"/>
      <c r="K1698"/>
      <c r="L1698"/>
      <c r="M1698"/>
      <c r="N1698"/>
      <c r="O1698"/>
      <c r="P1698"/>
      <c r="Q1698"/>
      <c r="R1698" s="8"/>
      <c r="S1698" s="1"/>
      <c r="T1698"/>
      <c r="U1698"/>
      <c r="V1698"/>
    </row>
    <row r="1699" spans="1:22" s="53" customFormat="1" x14ac:dyDescent="0.35">
      <c r="A1699" s="2"/>
      <c r="B1699" s="3"/>
      <c r="C1699" s="3"/>
      <c r="D1699" s="3"/>
      <c r="E1699"/>
      <c r="F1699"/>
      <c r="G1699"/>
      <c r="H1699" s="34"/>
      <c r="I1699"/>
      <c r="J1699"/>
      <c r="K1699"/>
      <c r="L1699"/>
      <c r="M1699"/>
      <c r="N1699"/>
      <c r="O1699"/>
      <c r="P1699"/>
      <c r="Q1699"/>
      <c r="R1699" s="8"/>
      <c r="S1699" s="1"/>
      <c r="T1699"/>
      <c r="U1699"/>
      <c r="V1699"/>
    </row>
    <row r="1700" spans="1:22" s="53" customFormat="1" x14ac:dyDescent="0.35">
      <c r="A1700" s="2"/>
      <c r="B1700" s="3"/>
      <c r="C1700" s="3"/>
      <c r="D1700" s="3"/>
      <c r="E1700"/>
      <c r="F1700"/>
      <c r="G1700"/>
      <c r="H1700" s="34"/>
      <c r="I1700"/>
      <c r="J1700"/>
      <c r="K1700"/>
      <c r="L1700"/>
      <c r="M1700"/>
      <c r="N1700"/>
      <c r="O1700"/>
      <c r="P1700"/>
      <c r="Q1700"/>
      <c r="R1700" s="8"/>
      <c r="S1700" s="1"/>
      <c r="T1700"/>
      <c r="U1700"/>
      <c r="V1700"/>
    </row>
    <row r="1701" spans="1:22" s="53" customFormat="1" x14ac:dyDescent="0.35">
      <c r="A1701" s="2"/>
      <c r="B1701" s="3"/>
      <c r="C1701" s="3"/>
      <c r="D1701" s="3"/>
      <c r="E1701"/>
      <c r="F1701"/>
      <c r="G1701"/>
      <c r="H1701" s="34"/>
      <c r="I1701"/>
      <c r="J1701"/>
      <c r="K1701"/>
      <c r="L1701"/>
      <c r="M1701"/>
      <c r="N1701"/>
      <c r="O1701"/>
      <c r="P1701"/>
      <c r="Q1701"/>
      <c r="R1701" s="8"/>
      <c r="S1701" s="1"/>
      <c r="T1701"/>
      <c r="U1701"/>
      <c r="V1701"/>
    </row>
    <row r="1702" spans="1:22" s="53" customFormat="1" x14ac:dyDescent="0.35">
      <c r="A1702" s="2"/>
      <c r="B1702" s="3"/>
      <c r="C1702" s="3"/>
      <c r="D1702" s="3"/>
      <c r="E1702"/>
      <c r="F1702"/>
      <c r="G1702"/>
      <c r="H1702" s="34"/>
      <c r="I1702"/>
      <c r="J1702"/>
      <c r="K1702"/>
      <c r="L1702"/>
      <c r="M1702"/>
      <c r="N1702"/>
      <c r="O1702"/>
      <c r="P1702"/>
      <c r="Q1702"/>
      <c r="R1702" s="8"/>
      <c r="S1702" s="1"/>
      <c r="T1702"/>
      <c r="U1702"/>
      <c r="V1702"/>
    </row>
    <row r="1703" spans="1:22" s="53" customFormat="1" x14ac:dyDescent="0.35">
      <c r="A1703" s="2"/>
      <c r="B1703" s="3"/>
      <c r="C1703" s="3"/>
      <c r="D1703" s="3"/>
      <c r="E1703"/>
      <c r="F1703"/>
      <c r="G1703"/>
      <c r="H1703" s="34"/>
      <c r="I1703"/>
      <c r="J1703"/>
      <c r="K1703"/>
      <c r="L1703"/>
      <c r="M1703"/>
      <c r="N1703"/>
      <c r="O1703"/>
      <c r="P1703"/>
      <c r="Q1703"/>
      <c r="R1703" s="8"/>
      <c r="S1703" s="1"/>
      <c r="T1703"/>
      <c r="U1703"/>
      <c r="V1703"/>
    </row>
    <row r="1704" spans="1:22" s="53" customFormat="1" x14ac:dyDescent="0.35">
      <c r="A1704" s="2"/>
      <c r="B1704" s="3"/>
      <c r="C1704" s="3"/>
      <c r="D1704" s="3"/>
      <c r="E1704"/>
      <c r="F1704"/>
      <c r="G1704"/>
      <c r="H1704" s="34"/>
      <c r="I1704"/>
      <c r="J1704"/>
      <c r="K1704"/>
      <c r="L1704"/>
      <c r="M1704"/>
      <c r="N1704"/>
      <c r="O1704"/>
      <c r="P1704"/>
      <c r="Q1704"/>
      <c r="R1704" s="8"/>
      <c r="S1704" s="1"/>
      <c r="T1704"/>
      <c r="U1704"/>
      <c r="V1704"/>
    </row>
    <row r="1705" spans="1:22" s="53" customFormat="1" x14ac:dyDescent="0.35">
      <c r="A1705" s="2"/>
      <c r="B1705" s="3"/>
      <c r="C1705" s="3"/>
      <c r="D1705" s="3"/>
      <c r="E1705"/>
      <c r="F1705"/>
      <c r="G1705"/>
      <c r="H1705" s="34"/>
      <c r="I1705"/>
      <c r="J1705"/>
      <c r="K1705"/>
      <c r="L1705"/>
      <c r="M1705"/>
      <c r="N1705"/>
      <c r="O1705"/>
      <c r="P1705"/>
      <c r="Q1705"/>
      <c r="R1705" s="8"/>
      <c r="S1705" s="1"/>
      <c r="T1705"/>
      <c r="U1705"/>
      <c r="V1705"/>
    </row>
    <row r="1706" spans="1:22" s="53" customFormat="1" x14ac:dyDescent="0.35">
      <c r="A1706" s="2"/>
      <c r="B1706" s="3"/>
      <c r="C1706" s="3"/>
      <c r="D1706" s="3"/>
      <c r="E1706"/>
      <c r="F1706"/>
      <c r="G1706"/>
      <c r="H1706" s="34"/>
      <c r="I1706"/>
      <c r="J1706"/>
      <c r="K1706"/>
      <c r="L1706"/>
      <c r="M1706"/>
      <c r="N1706"/>
      <c r="O1706"/>
      <c r="P1706"/>
      <c r="Q1706"/>
      <c r="R1706" s="8"/>
      <c r="S1706" s="1"/>
      <c r="T1706"/>
      <c r="U1706"/>
      <c r="V1706"/>
    </row>
    <row r="1707" spans="1:22" s="53" customFormat="1" x14ac:dyDescent="0.35">
      <c r="A1707" s="2"/>
      <c r="B1707" s="3"/>
      <c r="C1707" s="3"/>
      <c r="D1707" s="3"/>
      <c r="E1707"/>
      <c r="F1707"/>
      <c r="G1707"/>
      <c r="H1707" s="34"/>
      <c r="I1707"/>
      <c r="J1707"/>
      <c r="K1707"/>
      <c r="L1707"/>
      <c r="M1707"/>
      <c r="N1707"/>
      <c r="O1707"/>
      <c r="P1707"/>
      <c r="Q1707"/>
      <c r="R1707" s="8"/>
      <c r="S1707" s="1"/>
      <c r="T1707"/>
      <c r="U1707"/>
      <c r="V1707"/>
    </row>
    <row r="1708" spans="1:22" s="53" customFormat="1" x14ac:dyDescent="0.35">
      <c r="A1708" s="2"/>
      <c r="B1708" s="3"/>
      <c r="C1708" s="3"/>
      <c r="D1708" s="3"/>
      <c r="E1708"/>
      <c r="F1708"/>
      <c r="G1708"/>
      <c r="H1708" s="34"/>
      <c r="I1708"/>
      <c r="J1708"/>
      <c r="K1708"/>
      <c r="L1708"/>
      <c r="M1708"/>
      <c r="N1708"/>
      <c r="O1708"/>
      <c r="P1708"/>
      <c r="Q1708"/>
      <c r="R1708" s="8"/>
      <c r="S1708" s="1"/>
      <c r="T1708"/>
      <c r="U1708"/>
      <c r="V1708"/>
    </row>
    <row r="1709" spans="1:22" s="53" customFormat="1" x14ac:dyDescent="0.35">
      <c r="A1709" s="2"/>
      <c r="B1709" s="3"/>
      <c r="C1709" s="3"/>
      <c r="D1709" s="3"/>
      <c r="E1709"/>
      <c r="F1709"/>
      <c r="G1709"/>
      <c r="H1709" s="34"/>
      <c r="I1709"/>
      <c r="J1709"/>
      <c r="K1709"/>
      <c r="L1709"/>
      <c r="M1709"/>
      <c r="N1709"/>
      <c r="O1709"/>
      <c r="P1709"/>
      <c r="Q1709"/>
      <c r="R1709" s="8"/>
      <c r="S1709" s="1"/>
      <c r="T1709"/>
      <c r="U1709"/>
      <c r="V1709"/>
    </row>
    <row r="1710" spans="1:22" s="53" customFormat="1" x14ac:dyDescent="0.35">
      <c r="A1710" s="2"/>
      <c r="B1710" s="3"/>
      <c r="C1710" s="3"/>
      <c r="D1710" s="3"/>
      <c r="E1710"/>
      <c r="F1710"/>
      <c r="G1710"/>
      <c r="H1710" s="34"/>
      <c r="I1710"/>
      <c r="J1710"/>
      <c r="K1710"/>
      <c r="L1710"/>
      <c r="M1710"/>
      <c r="N1710"/>
      <c r="O1710"/>
      <c r="P1710"/>
      <c r="Q1710"/>
      <c r="R1710" s="8"/>
      <c r="S1710" s="1"/>
      <c r="T1710"/>
      <c r="U1710"/>
      <c r="V1710"/>
    </row>
    <row r="1711" spans="1:22" s="53" customFormat="1" x14ac:dyDescent="0.35">
      <c r="A1711" s="2"/>
      <c r="B1711" s="3"/>
      <c r="C1711" s="3"/>
      <c r="D1711" s="3"/>
      <c r="E1711"/>
      <c r="F1711"/>
      <c r="G1711"/>
      <c r="H1711" s="34"/>
      <c r="I1711"/>
      <c r="J1711"/>
      <c r="K1711"/>
      <c r="L1711"/>
      <c r="M1711"/>
      <c r="N1711"/>
      <c r="O1711"/>
      <c r="P1711"/>
      <c r="Q1711"/>
      <c r="R1711" s="8"/>
      <c r="S1711" s="1"/>
      <c r="T1711"/>
      <c r="U1711"/>
      <c r="V1711"/>
    </row>
    <row r="1712" spans="1:22" s="53" customFormat="1" x14ac:dyDescent="0.35">
      <c r="A1712" s="2"/>
      <c r="B1712" s="3"/>
      <c r="C1712" s="3"/>
      <c r="D1712" s="3"/>
      <c r="E1712"/>
      <c r="F1712"/>
      <c r="G1712"/>
      <c r="H1712" s="34"/>
      <c r="I1712"/>
      <c r="J1712"/>
      <c r="K1712"/>
      <c r="L1712"/>
      <c r="M1712"/>
      <c r="N1712"/>
      <c r="O1712"/>
      <c r="P1712"/>
      <c r="Q1712"/>
      <c r="R1712" s="8"/>
      <c r="S1712" s="1"/>
      <c r="T1712"/>
      <c r="U1712"/>
      <c r="V1712"/>
    </row>
    <row r="1713" spans="1:22" s="53" customFormat="1" x14ac:dyDescent="0.35">
      <c r="A1713" s="2"/>
      <c r="B1713" s="3"/>
      <c r="C1713" s="3"/>
      <c r="D1713" s="3"/>
      <c r="E1713"/>
      <c r="F1713"/>
      <c r="G1713"/>
      <c r="H1713" s="34"/>
      <c r="I1713"/>
      <c r="J1713"/>
      <c r="K1713"/>
      <c r="L1713"/>
      <c r="M1713"/>
      <c r="N1713"/>
      <c r="O1713"/>
      <c r="P1713"/>
      <c r="Q1713"/>
      <c r="R1713" s="8"/>
      <c r="S1713" s="1"/>
      <c r="T1713"/>
      <c r="U1713"/>
      <c r="V1713"/>
    </row>
    <row r="1714" spans="1:22" s="53" customFormat="1" x14ac:dyDescent="0.35">
      <c r="A1714" s="2"/>
      <c r="B1714" s="3"/>
      <c r="C1714" s="3"/>
      <c r="D1714" s="3"/>
      <c r="E1714"/>
      <c r="F1714"/>
      <c r="G1714"/>
      <c r="H1714" s="34"/>
      <c r="I1714"/>
      <c r="J1714"/>
      <c r="K1714"/>
      <c r="L1714"/>
      <c r="M1714"/>
      <c r="N1714"/>
      <c r="O1714"/>
      <c r="P1714"/>
      <c r="Q1714"/>
      <c r="R1714" s="8"/>
      <c r="S1714" s="1"/>
      <c r="T1714"/>
      <c r="U1714"/>
      <c r="V1714"/>
    </row>
    <row r="1715" spans="1:22" s="53" customFormat="1" x14ac:dyDescent="0.35">
      <c r="A1715" s="2"/>
      <c r="B1715" s="3"/>
      <c r="C1715" s="3"/>
      <c r="D1715" s="3"/>
      <c r="E1715"/>
      <c r="F1715"/>
      <c r="G1715"/>
      <c r="H1715" s="34"/>
      <c r="I1715"/>
      <c r="J1715"/>
      <c r="K1715"/>
      <c r="L1715"/>
      <c r="M1715"/>
      <c r="N1715"/>
      <c r="O1715"/>
      <c r="P1715"/>
      <c r="Q1715"/>
      <c r="R1715" s="8"/>
      <c r="S1715" s="1"/>
      <c r="T1715"/>
      <c r="U1715"/>
      <c r="V1715"/>
    </row>
    <row r="1716" spans="1:22" s="53" customFormat="1" x14ac:dyDescent="0.35">
      <c r="A1716" s="2"/>
      <c r="B1716" s="3"/>
      <c r="C1716" s="3"/>
      <c r="D1716" s="3"/>
      <c r="E1716"/>
      <c r="F1716"/>
      <c r="G1716"/>
      <c r="H1716" s="34"/>
      <c r="I1716"/>
      <c r="J1716"/>
      <c r="K1716"/>
      <c r="L1716"/>
      <c r="M1716"/>
      <c r="N1716"/>
      <c r="O1716"/>
      <c r="P1716"/>
      <c r="Q1716"/>
      <c r="R1716" s="8"/>
      <c r="S1716" s="1"/>
      <c r="T1716"/>
      <c r="U1716"/>
      <c r="V1716"/>
    </row>
    <row r="1717" spans="1:22" s="53" customFormat="1" x14ac:dyDescent="0.35">
      <c r="A1717" s="2"/>
      <c r="B1717" s="3"/>
      <c r="C1717" s="3"/>
      <c r="D1717" s="3"/>
      <c r="E1717"/>
      <c r="F1717"/>
      <c r="G1717"/>
      <c r="H1717" s="34"/>
      <c r="I1717"/>
      <c r="J1717"/>
      <c r="K1717"/>
      <c r="L1717"/>
      <c r="M1717"/>
      <c r="N1717"/>
      <c r="O1717"/>
      <c r="P1717"/>
      <c r="Q1717"/>
      <c r="R1717" s="8"/>
      <c r="S1717" s="1"/>
      <c r="T1717"/>
      <c r="U1717"/>
      <c r="V1717"/>
    </row>
    <row r="1718" spans="1:22" s="53" customFormat="1" x14ac:dyDescent="0.35">
      <c r="A1718" s="2"/>
      <c r="B1718" s="3"/>
      <c r="C1718" s="3"/>
      <c r="D1718" s="3"/>
      <c r="E1718"/>
      <c r="F1718"/>
      <c r="G1718"/>
      <c r="H1718" s="34"/>
      <c r="I1718"/>
      <c r="J1718"/>
      <c r="K1718"/>
      <c r="L1718"/>
      <c r="M1718"/>
      <c r="N1718"/>
      <c r="O1718"/>
      <c r="P1718"/>
      <c r="Q1718"/>
      <c r="R1718" s="8"/>
      <c r="S1718" s="1"/>
      <c r="T1718"/>
      <c r="U1718"/>
      <c r="V1718"/>
    </row>
    <row r="1719" spans="1:22" s="53" customFormat="1" x14ac:dyDescent="0.35">
      <c r="A1719" s="2"/>
      <c r="B1719" s="3"/>
      <c r="C1719" s="3"/>
      <c r="D1719" s="3"/>
      <c r="E1719"/>
      <c r="F1719"/>
      <c r="G1719"/>
      <c r="H1719" s="34"/>
      <c r="I1719"/>
      <c r="J1719"/>
      <c r="K1719"/>
      <c r="L1719"/>
      <c r="M1719"/>
      <c r="N1719"/>
      <c r="O1719"/>
      <c r="P1719"/>
      <c r="Q1719"/>
      <c r="R1719" s="8"/>
      <c r="S1719" s="1"/>
      <c r="T1719"/>
      <c r="U1719"/>
      <c r="V1719"/>
    </row>
    <row r="1720" spans="1:22" s="53" customFormat="1" x14ac:dyDescent="0.35">
      <c r="A1720" s="2"/>
      <c r="B1720" s="3"/>
      <c r="C1720" s="3"/>
      <c r="D1720" s="3"/>
      <c r="E1720"/>
      <c r="F1720"/>
      <c r="G1720"/>
      <c r="H1720" s="34"/>
      <c r="I1720"/>
      <c r="J1720"/>
      <c r="K1720"/>
      <c r="L1720"/>
      <c r="M1720"/>
      <c r="N1720"/>
      <c r="O1720"/>
      <c r="P1720"/>
      <c r="Q1720"/>
      <c r="R1720" s="8"/>
      <c r="S1720" s="1"/>
      <c r="T1720"/>
      <c r="U1720"/>
      <c r="V1720"/>
    </row>
    <row r="1721" spans="1:22" s="53" customFormat="1" x14ac:dyDescent="0.35">
      <c r="A1721" s="2"/>
      <c r="B1721" s="3"/>
      <c r="C1721" s="3"/>
      <c r="D1721" s="3"/>
      <c r="E1721"/>
      <c r="F1721"/>
      <c r="G1721"/>
      <c r="H1721" s="34"/>
      <c r="I1721"/>
      <c r="J1721"/>
      <c r="K1721"/>
      <c r="L1721"/>
      <c r="M1721"/>
      <c r="N1721"/>
      <c r="O1721"/>
      <c r="P1721"/>
      <c r="Q1721"/>
      <c r="R1721" s="8"/>
      <c r="S1721" s="1"/>
      <c r="T1721"/>
      <c r="U1721"/>
      <c r="V1721"/>
    </row>
    <row r="1722" spans="1:22" s="53" customFormat="1" x14ac:dyDescent="0.35">
      <c r="A1722" s="2"/>
      <c r="B1722" s="3"/>
      <c r="C1722" s="3"/>
      <c r="D1722" s="3"/>
      <c r="E1722"/>
      <c r="F1722"/>
      <c r="G1722"/>
      <c r="H1722" s="34"/>
      <c r="I1722"/>
      <c r="J1722"/>
      <c r="K1722"/>
      <c r="L1722"/>
      <c r="M1722"/>
      <c r="N1722"/>
      <c r="O1722"/>
      <c r="P1722"/>
      <c r="Q1722"/>
      <c r="R1722" s="8"/>
      <c r="S1722" s="1"/>
      <c r="T1722"/>
      <c r="U1722"/>
      <c r="V1722"/>
    </row>
    <row r="1723" spans="1:22" s="53" customFormat="1" x14ac:dyDescent="0.35">
      <c r="A1723" s="2"/>
      <c r="B1723" s="3"/>
      <c r="C1723" s="3"/>
      <c r="D1723" s="3"/>
      <c r="E1723"/>
      <c r="F1723"/>
      <c r="G1723"/>
      <c r="H1723" s="34"/>
      <c r="I1723"/>
      <c r="J1723"/>
      <c r="K1723"/>
      <c r="L1723"/>
      <c r="M1723"/>
      <c r="N1723"/>
      <c r="O1723"/>
      <c r="P1723"/>
      <c r="Q1723"/>
      <c r="R1723" s="8"/>
      <c r="S1723" s="1"/>
      <c r="T1723"/>
      <c r="U1723"/>
      <c r="V1723"/>
    </row>
    <row r="1724" spans="1:22" s="53" customFormat="1" x14ac:dyDescent="0.35">
      <c r="A1724" s="2"/>
      <c r="B1724" s="3"/>
      <c r="C1724" s="3"/>
      <c r="D1724" s="3"/>
      <c r="E1724"/>
      <c r="F1724"/>
      <c r="G1724"/>
      <c r="H1724" s="34"/>
      <c r="I1724"/>
      <c r="J1724"/>
      <c r="K1724"/>
      <c r="L1724"/>
      <c r="M1724"/>
      <c r="N1724"/>
      <c r="O1724"/>
      <c r="P1724"/>
      <c r="Q1724"/>
      <c r="R1724" s="8"/>
      <c r="S1724" s="1"/>
      <c r="T1724"/>
      <c r="U1724"/>
      <c r="V1724"/>
    </row>
    <row r="1725" spans="1:22" s="53" customFormat="1" x14ac:dyDescent="0.35">
      <c r="A1725" s="2"/>
      <c r="B1725" s="3"/>
      <c r="C1725" s="3"/>
      <c r="D1725" s="3"/>
      <c r="E1725"/>
      <c r="F1725"/>
      <c r="G1725"/>
      <c r="H1725" s="34"/>
      <c r="I1725"/>
      <c r="J1725"/>
      <c r="K1725"/>
      <c r="L1725"/>
      <c r="M1725"/>
      <c r="N1725"/>
      <c r="O1725"/>
      <c r="P1725"/>
      <c r="Q1725"/>
      <c r="R1725" s="8"/>
      <c r="S1725" s="1"/>
      <c r="T1725"/>
      <c r="U1725"/>
      <c r="V1725"/>
    </row>
    <row r="1726" spans="1:22" s="53" customFormat="1" x14ac:dyDescent="0.35">
      <c r="A1726" s="2"/>
      <c r="B1726" s="3"/>
      <c r="C1726" s="3"/>
      <c r="D1726" s="3"/>
      <c r="E1726"/>
      <c r="F1726"/>
      <c r="G1726"/>
      <c r="H1726" s="34"/>
      <c r="I1726"/>
      <c r="J1726"/>
      <c r="K1726"/>
      <c r="L1726"/>
      <c r="M1726"/>
      <c r="N1726"/>
      <c r="O1726"/>
      <c r="P1726"/>
      <c r="Q1726"/>
      <c r="R1726" s="8"/>
      <c r="S1726" s="1"/>
      <c r="T1726"/>
      <c r="U1726"/>
      <c r="V1726"/>
    </row>
    <row r="1727" spans="1:22" s="53" customFormat="1" x14ac:dyDescent="0.35">
      <c r="A1727" s="2"/>
      <c r="B1727" s="3"/>
      <c r="C1727" s="3"/>
      <c r="D1727" s="3"/>
      <c r="E1727"/>
      <c r="F1727"/>
      <c r="G1727"/>
      <c r="H1727" s="34"/>
      <c r="I1727"/>
      <c r="J1727"/>
      <c r="K1727"/>
      <c r="L1727"/>
      <c r="M1727"/>
      <c r="N1727"/>
      <c r="O1727"/>
      <c r="P1727"/>
      <c r="Q1727"/>
      <c r="R1727" s="8"/>
      <c r="S1727" s="1"/>
      <c r="T1727"/>
      <c r="U1727"/>
      <c r="V1727"/>
    </row>
    <row r="1728" spans="1:22" s="53" customFormat="1" x14ac:dyDescent="0.35">
      <c r="A1728" s="2"/>
      <c r="B1728" s="3"/>
      <c r="C1728" s="3"/>
      <c r="D1728" s="3"/>
      <c r="E1728"/>
      <c r="F1728"/>
      <c r="G1728"/>
      <c r="H1728" s="34"/>
      <c r="I1728"/>
      <c r="J1728"/>
      <c r="K1728"/>
      <c r="L1728"/>
      <c r="M1728"/>
      <c r="N1728"/>
      <c r="O1728"/>
      <c r="P1728"/>
      <c r="Q1728"/>
      <c r="R1728" s="8"/>
      <c r="S1728" s="1"/>
      <c r="T1728"/>
      <c r="U1728"/>
      <c r="V1728"/>
    </row>
    <row r="1729" spans="1:22" s="53" customFormat="1" x14ac:dyDescent="0.35">
      <c r="A1729" s="2"/>
      <c r="B1729" s="3"/>
      <c r="C1729" s="3"/>
      <c r="D1729" s="3"/>
      <c r="E1729"/>
      <c r="F1729"/>
      <c r="G1729"/>
      <c r="H1729" s="34"/>
      <c r="I1729"/>
      <c r="J1729"/>
      <c r="K1729"/>
      <c r="L1729"/>
      <c r="M1729"/>
      <c r="N1729"/>
      <c r="O1729"/>
      <c r="P1729"/>
      <c r="Q1729"/>
      <c r="R1729" s="8"/>
      <c r="S1729" s="1"/>
      <c r="T1729"/>
      <c r="U1729"/>
      <c r="V1729"/>
    </row>
    <row r="1730" spans="1:22" s="53" customFormat="1" x14ac:dyDescent="0.35">
      <c r="A1730" s="2"/>
      <c r="B1730" s="3"/>
      <c r="C1730" s="3"/>
      <c r="D1730" s="3"/>
      <c r="E1730"/>
      <c r="F1730"/>
      <c r="G1730"/>
      <c r="H1730" s="34"/>
      <c r="I1730"/>
      <c r="J1730"/>
      <c r="K1730"/>
      <c r="L1730"/>
      <c r="M1730"/>
      <c r="N1730"/>
      <c r="O1730"/>
      <c r="P1730"/>
      <c r="Q1730"/>
      <c r="R1730" s="8"/>
      <c r="S1730" s="1"/>
      <c r="T1730"/>
      <c r="U1730"/>
      <c r="V1730"/>
    </row>
    <row r="1731" spans="1:22" s="53" customFormat="1" x14ac:dyDescent="0.35">
      <c r="A1731" s="2"/>
      <c r="B1731" s="3"/>
      <c r="C1731" s="3"/>
      <c r="D1731" s="3"/>
      <c r="E1731"/>
      <c r="F1731"/>
      <c r="G1731"/>
      <c r="H1731" s="34"/>
      <c r="I1731"/>
      <c r="J1731"/>
      <c r="K1731"/>
      <c r="L1731"/>
      <c r="M1731"/>
      <c r="N1731"/>
      <c r="O1731"/>
      <c r="P1731"/>
      <c r="Q1731"/>
      <c r="R1731" s="8"/>
      <c r="S1731" s="1"/>
      <c r="T1731"/>
      <c r="U1731"/>
      <c r="V1731"/>
    </row>
    <row r="1732" spans="1:22" s="53" customFormat="1" x14ac:dyDescent="0.35">
      <c r="A1732" s="2"/>
      <c r="B1732" s="3"/>
      <c r="C1732" s="3"/>
      <c r="D1732" s="3"/>
      <c r="E1732"/>
      <c r="F1732"/>
      <c r="G1732"/>
      <c r="H1732" s="34"/>
      <c r="I1732"/>
      <c r="J1732"/>
      <c r="K1732"/>
      <c r="L1732"/>
      <c r="M1732"/>
      <c r="N1732"/>
      <c r="O1732"/>
      <c r="P1732"/>
      <c r="Q1732"/>
      <c r="R1732" s="8"/>
      <c r="S1732" s="1"/>
      <c r="T1732"/>
      <c r="U1732"/>
      <c r="V1732"/>
    </row>
    <row r="1733" spans="1:22" s="53" customFormat="1" x14ac:dyDescent="0.35">
      <c r="A1733" s="2"/>
      <c r="B1733" s="3"/>
      <c r="C1733" s="3"/>
      <c r="D1733" s="3"/>
      <c r="E1733"/>
      <c r="F1733"/>
      <c r="G1733"/>
      <c r="H1733" s="34"/>
      <c r="I1733"/>
      <c r="J1733"/>
      <c r="K1733"/>
      <c r="L1733"/>
      <c r="M1733"/>
      <c r="N1733"/>
      <c r="O1733"/>
      <c r="P1733"/>
      <c r="Q1733"/>
      <c r="R1733" s="8"/>
      <c r="S1733" s="1"/>
      <c r="T1733"/>
      <c r="U1733"/>
      <c r="V1733"/>
    </row>
    <row r="1734" spans="1:22" s="53" customFormat="1" x14ac:dyDescent="0.35">
      <c r="A1734" s="2"/>
      <c r="B1734" s="3"/>
      <c r="C1734" s="3"/>
      <c r="D1734" s="3"/>
      <c r="E1734"/>
      <c r="F1734"/>
      <c r="G1734"/>
      <c r="H1734" s="34"/>
      <c r="I1734"/>
      <c r="J1734"/>
      <c r="K1734"/>
      <c r="L1734"/>
      <c r="M1734"/>
      <c r="N1734"/>
      <c r="O1734"/>
      <c r="P1734"/>
      <c r="Q1734"/>
      <c r="R1734" s="8"/>
      <c r="S1734" s="1"/>
      <c r="T1734"/>
      <c r="U1734"/>
      <c r="V1734"/>
    </row>
    <row r="1735" spans="1:22" s="53" customFormat="1" x14ac:dyDescent="0.35">
      <c r="A1735" s="2"/>
      <c r="B1735" s="3"/>
      <c r="C1735" s="3"/>
      <c r="D1735" s="3"/>
      <c r="E1735"/>
      <c r="F1735"/>
      <c r="G1735"/>
      <c r="H1735" s="34"/>
      <c r="I1735"/>
      <c r="J1735"/>
      <c r="K1735"/>
      <c r="L1735"/>
      <c r="M1735"/>
      <c r="N1735"/>
      <c r="O1735"/>
      <c r="P1735"/>
      <c r="Q1735"/>
      <c r="R1735" s="8"/>
      <c r="S1735" s="1"/>
      <c r="T1735"/>
      <c r="U1735"/>
      <c r="V1735"/>
    </row>
    <row r="1736" spans="1:22" s="53" customFormat="1" x14ac:dyDescent="0.35">
      <c r="A1736" s="2"/>
      <c r="B1736" s="3"/>
      <c r="C1736" s="3"/>
      <c r="D1736" s="3"/>
      <c r="E1736"/>
      <c r="F1736"/>
      <c r="G1736"/>
      <c r="H1736" s="34"/>
      <c r="I1736"/>
      <c r="J1736"/>
      <c r="K1736"/>
      <c r="L1736"/>
      <c r="M1736"/>
      <c r="N1736"/>
      <c r="O1736"/>
      <c r="P1736"/>
      <c r="Q1736"/>
      <c r="R1736" s="8"/>
      <c r="S1736" s="1"/>
      <c r="T1736"/>
      <c r="U1736"/>
      <c r="V1736"/>
    </row>
    <row r="1737" spans="1:22" s="53" customFormat="1" x14ac:dyDescent="0.35">
      <c r="A1737" s="2"/>
      <c r="B1737" s="3"/>
      <c r="C1737" s="3"/>
      <c r="D1737" s="3"/>
      <c r="E1737"/>
      <c r="F1737"/>
      <c r="G1737"/>
      <c r="H1737" s="34"/>
      <c r="I1737"/>
      <c r="J1737"/>
      <c r="K1737"/>
      <c r="L1737"/>
      <c r="M1737"/>
      <c r="N1737"/>
      <c r="O1737"/>
      <c r="P1737"/>
      <c r="Q1737"/>
      <c r="R1737" s="8"/>
      <c r="S1737" s="1"/>
      <c r="T1737"/>
      <c r="U1737"/>
      <c r="V1737"/>
    </row>
    <row r="1738" spans="1:22" s="53" customFormat="1" x14ac:dyDescent="0.35">
      <c r="A1738" s="2"/>
      <c r="B1738" s="3"/>
      <c r="C1738" s="3"/>
      <c r="D1738" s="3"/>
      <c r="E1738"/>
      <c r="F1738"/>
      <c r="G1738"/>
      <c r="H1738" s="34"/>
      <c r="I1738"/>
      <c r="J1738"/>
      <c r="K1738"/>
      <c r="L1738"/>
      <c r="M1738"/>
      <c r="N1738"/>
      <c r="O1738"/>
      <c r="P1738"/>
      <c r="Q1738"/>
      <c r="R1738" s="8"/>
      <c r="S1738" s="1"/>
      <c r="T1738"/>
      <c r="U1738"/>
      <c r="V1738"/>
    </row>
    <row r="1739" spans="1:22" s="53" customFormat="1" x14ac:dyDescent="0.35">
      <c r="A1739" s="2"/>
      <c r="B1739" s="3"/>
      <c r="C1739" s="3"/>
      <c r="D1739" s="3"/>
      <c r="E1739"/>
      <c r="F1739"/>
      <c r="G1739"/>
      <c r="H1739" s="34"/>
      <c r="I1739"/>
      <c r="J1739"/>
      <c r="K1739"/>
      <c r="L1739"/>
      <c r="M1739"/>
      <c r="N1739"/>
      <c r="O1739"/>
      <c r="P1739"/>
      <c r="Q1739"/>
      <c r="R1739" s="8"/>
      <c r="S1739" s="1"/>
      <c r="T1739"/>
      <c r="U1739"/>
      <c r="V1739"/>
    </row>
    <row r="1740" spans="1:22" s="53" customFormat="1" x14ac:dyDescent="0.35">
      <c r="A1740" s="2"/>
      <c r="B1740" s="3"/>
      <c r="C1740" s="3"/>
      <c r="D1740" s="3"/>
      <c r="E1740"/>
      <c r="F1740"/>
      <c r="G1740"/>
      <c r="H1740" s="34"/>
      <c r="I1740"/>
      <c r="J1740"/>
      <c r="K1740"/>
      <c r="L1740"/>
      <c r="M1740"/>
      <c r="N1740"/>
      <c r="O1740"/>
      <c r="P1740"/>
      <c r="Q1740"/>
      <c r="R1740" s="8"/>
      <c r="S1740" s="1"/>
      <c r="T1740"/>
      <c r="U1740"/>
      <c r="V1740"/>
    </row>
    <row r="1741" spans="1:22" s="53" customFormat="1" x14ac:dyDescent="0.35">
      <c r="A1741" s="2"/>
      <c r="B1741" s="3"/>
      <c r="C1741" s="3"/>
      <c r="D1741" s="3"/>
      <c r="E1741"/>
      <c r="F1741"/>
      <c r="G1741"/>
      <c r="H1741" s="34"/>
      <c r="I1741"/>
      <c r="J1741"/>
      <c r="K1741"/>
      <c r="L1741"/>
      <c r="M1741"/>
      <c r="N1741"/>
      <c r="O1741"/>
      <c r="P1741"/>
      <c r="Q1741"/>
      <c r="R1741" s="8"/>
      <c r="S1741" s="1"/>
      <c r="T1741"/>
      <c r="U1741"/>
      <c r="V1741"/>
    </row>
    <row r="1742" spans="1:22" s="53" customFormat="1" x14ac:dyDescent="0.35">
      <c r="A1742" s="2"/>
      <c r="B1742" s="3"/>
      <c r="C1742" s="3"/>
      <c r="D1742" s="3"/>
      <c r="E1742"/>
      <c r="F1742"/>
      <c r="G1742"/>
      <c r="H1742" s="34"/>
      <c r="I1742"/>
      <c r="J1742"/>
      <c r="K1742"/>
      <c r="L1742"/>
      <c r="M1742"/>
      <c r="N1742"/>
      <c r="O1742"/>
      <c r="P1742"/>
      <c r="Q1742"/>
      <c r="R1742" s="8"/>
      <c r="S1742" s="1"/>
      <c r="T1742"/>
      <c r="U1742"/>
      <c r="V1742"/>
    </row>
    <row r="1743" spans="1:22" s="53" customFormat="1" x14ac:dyDescent="0.35">
      <c r="A1743" s="2"/>
      <c r="B1743" s="3"/>
      <c r="C1743" s="3"/>
      <c r="D1743" s="3"/>
      <c r="E1743"/>
      <c r="F1743"/>
      <c r="G1743"/>
      <c r="H1743" s="34"/>
      <c r="I1743"/>
      <c r="J1743"/>
      <c r="K1743"/>
      <c r="L1743"/>
      <c r="M1743"/>
      <c r="N1743"/>
      <c r="O1743"/>
      <c r="P1743"/>
      <c r="Q1743"/>
      <c r="R1743" s="8"/>
      <c r="S1743" s="1"/>
      <c r="T1743"/>
      <c r="U1743"/>
      <c r="V1743"/>
    </row>
    <row r="1744" spans="1:22" s="53" customFormat="1" x14ac:dyDescent="0.35">
      <c r="A1744" s="2"/>
      <c r="B1744" s="3"/>
      <c r="C1744" s="3"/>
      <c r="D1744" s="3"/>
      <c r="E1744"/>
      <c r="F1744"/>
      <c r="G1744"/>
      <c r="H1744" s="34"/>
      <c r="I1744"/>
      <c r="J1744"/>
      <c r="K1744"/>
      <c r="L1744"/>
      <c r="M1744"/>
      <c r="N1744"/>
      <c r="O1744"/>
      <c r="P1744"/>
      <c r="Q1744"/>
      <c r="R1744" s="8"/>
      <c r="S1744" s="1"/>
      <c r="T1744"/>
      <c r="U1744"/>
      <c r="V1744"/>
    </row>
    <row r="1745" spans="1:22" s="53" customFormat="1" x14ac:dyDescent="0.35">
      <c r="A1745" s="2"/>
      <c r="B1745" s="3"/>
      <c r="C1745" s="3"/>
      <c r="D1745" s="3"/>
      <c r="E1745"/>
      <c r="F1745"/>
      <c r="G1745"/>
      <c r="H1745" s="34"/>
      <c r="I1745"/>
      <c r="J1745"/>
      <c r="K1745"/>
      <c r="L1745"/>
      <c r="M1745"/>
      <c r="N1745"/>
      <c r="O1745"/>
      <c r="P1745"/>
      <c r="Q1745"/>
      <c r="R1745" s="8"/>
      <c r="S1745" s="1"/>
      <c r="T1745"/>
      <c r="U1745"/>
      <c r="V1745"/>
    </row>
    <row r="1746" spans="1:22" s="53" customFormat="1" x14ac:dyDescent="0.35">
      <c r="A1746" s="2"/>
      <c r="B1746" s="3"/>
      <c r="C1746" s="3"/>
      <c r="D1746" s="3"/>
      <c r="E1746"/>
      <c r="F1746"/>
      <c r="G1746"/>
      <c r="H1746" s="34"/>
      <c r="I1746"/>
      <c r="J1746"/>
      <c r="K1746"/>
      <c r="L1746"/>
      <c r="M1746"/>
      <c r="N1746"/>
      <c r="O1746"/>
      <c r="P1746"/>
      <c r="Q1746"/>
      <c r="R1746" s="8"/>
      <c r="S1746" s="1"/>
      <c r="T1746"/>
      <c r="U1746"/>
      <c r="V1746"/>
    </row>
    <row r="1747" spans="1:22" s="53" customFormat="1" x14ac:dyDescent="0.35">
      <c r="A1747" s="2"/>
      <c r="B1747" s="3"/>
      <c r="C1747" s="3"/>
      <c r="D1747" s="3"/>
      <c r="E1747"/>
      <c r="F1747"/>
      <c r="G1747"/>
      <c r="H1747" s="34"/>
      <c r="I1747"/>
      <c r="J1747"/>
      <c r="K1747"/>
      <c r="L1747"/>
      <c r="M1747"/>
      <c r="N1747"/>
      <c r="O1747"/>
      <c r="P1747"/>
      <c r="Q1747"/>
      <c r="R1747" s="8"/>
      <c r="S1747" s="1"/>
      <c r="T1747"/>
      <c r="U1747"/>
      <c r="V1747"/>
    </row>
    <row r="1748" spans="1:22" s="53" customFormat="1" x14ac:dyDescent="0.35">
      <c r="A1748" s="2"/>
      <c r="B1748" s="3"/>
      <c r="C1748" s="3"/>
      <c r="D1748" s="3"/>
      <c r="E1748"/>
      <c r="F1748"/>
      <c r="G1748"/>
      <c r="H1748" s="34"/>
      <c r="I1748"/>
      <c r="J1748"/>
      <c r="K1748"/>
      <c r="L1748"/>
      <c r="M1748"/>
      <c r="N1748"/>
      <c r="O1748"/>
      <c r="P1748"/>
      <c r="Q1748"/>
      <c r="R1748" s="8"/>
      <c r="S1748" s="1"/>
      <c r="T1748"/>
      <c r="U1748"/>
      <c r="V1748"/>
    </row>
    <row r="1749" spans="1:22" s="53" customFormat="1" x14ac:dyDescent="0.35">
      <c r="A1749" s="2"/>
      <c r="B1749" s="3"/>
      <c r="C1749" s="3"/>
      <c r="D1749" s="3"/>
      <c r="E1749"/>
      <c r="F1749"/>
      <c r="G1749"/>
      <c r="H1749" s="34"/>
      <c r="I1749"/>
      <c r="J1749"/>
      <c r="K1749"/>
      <c r="L1749"/>
      <c r="M1749"/>
      <c r="N1749"/>
      <c r="O1749"/>
      <c r="P1749"/>
      <c r="Q1749"/>
      <c r="R1749" s="8"/>
      <c r="S1749" s="1"/>
      <c r="T1749"/>
      <c r="U1749"/>
      <c r="V1749"/>
    </row>
    <row r="1750" spans="1:22" s="53" customFormat="1" x14ac:dyDescent="0.35">
      <c r="A1750" s="2"/>
      <c r="B1750" s="3"/>
      <c r="C1750" s="3"/>
      <c r="D1750" s="3"/>
      <c r="E1750"/>
      <c r="F1750"/>
      <c r="G1750"/>
      <c r="H1750" s="34"/>
      <c r="I1750"/>
      <c r="J1750"/>
      <c r="K1750"/>
      <c r="L1750"/>
      <c r="M1750"/>
      <c r="N1750"/>
      <c r="O1750"/>
      <c r="P1750"/>
      <c r="Q1750"/>
      <c r="R1750" s="8"/>
      <c r="S1750" s="1"/>
      <c r="T1750"/>
      <c r="U1750"/>
      <c r="V1750"/>
    </row>
    <row r="1751" spans="1:22" s="53" customFormat="1" x14ac:dyDescent="0.35">
      <c r="A1751" s="2"/>
      <c r="B1751" s="3"/>
      <c r="C1751" s="3"/>
      <c r="D1751" s="3"/>
      <c r="E1751"/>
      <c r="F1751"/>
      <c r="G1751"/>
      <c r="H1751" s="34"/>
      <c r="I1751"/>
      <c r="J1751"/>
      <c r="K1751"/>
      <c r="L1751"/>
      <c r="M1751"/>
      <c r="N1751"/>
      <c r="O1751"/>
      <c r="P1751"/>
      <c r="Q1751"/>
      <c r="R1751" s="8"/>
      <c r="S1751" s="1"/>
      <c r="T1751"/>
      <c r="U1751"/>
      <c r="V1751"/>
    </row>
    <row r="1752" spans="1:22" s="53" customFormat="1" x14ac:dyDescent="0.35">
      <c r="A1752" s="2"/>
      <c r="B1752" s="3"/>
      <c r="C1752" s="3"/>
      <c r="D1752" s="3"/>
      <c r="E1752"/>
      <c r="F1752"/>
      <c r="G1752"/>
      <c r="H1752" s="34"/>
      <c r="I1752"/>
      <c r="J1752"/>
      <c r="K1752"/>
      <c r="L1752"/>
      <c r="M1752"/>
      <c r="N1752"/>
      <c r="O1752"/>
      <c r="P1752"/>
      <c r="Q1752"/>
      <c r="R1752" s="8"/>
      <c r="S1752" s="1"/>
      <c r="T1752"/>
      <c r="U1752"/>
      <c r="V1752"/>
    </row>
    <row r="1753" spans="1:22" s="53" customFormat="1" x14ac:dyDescent="0.35">
      <c r="A1753" s="2"/>
      <c r="B1753" s="3"/>
      <c r="C1753" s="3"/>
      <c r="D1753" s="3"/>
      <c r="E1753"/>
      <c r="F1753"/>
      <c r="G1753"/>
      <c r="H1753" s="34"/>
      <c r="I1753"/>
      <c r="J1753"/>
      <c r="K1753"/>
      <c r="L1753"/>
      <c r="M1753"/>
      <c r="N1753"/>
      <c r="O1753"/>
      <c r="P1753"/>
      <c r="Q1753"/>
      <c r="R1753" s="8"/>
      <c r="S1753" s="1"/>
      <c r="T1753"/>
      <c r="U1753"/>
      <c r="V1753"/>
    </row>
    <row r="1754" spans="1:22" s="53" customFormat="1" x14ac:dyDescent="0.35">
      <c r="A1754" s="2"/>
      <c r="B1754" s="3"/>
      <c r="C1754" s="3"/>
      <c r="D1754" s="3"/>
      <c r="E1754"/>
      <c r="F1754"/>
      <c r="G1754"/>
      <c r="H1754" s="34"/>
      <c r="I1754"/>
      <c r="J1754"/>
      <c r="K1754"/>
      <c r="L1754"/>
      <c r="M1754"/>
      <c r="N1754"/>
      <c r="O1754"/>
      <c r="P1754"/>
      <c r="Q1754"/>
      <c r="R1754" s="8"/>
      <c r="S1754" s="1"/>
      <c r="T1754"/>
      <c r="U1754"/>
      <c r="V1754"/>
    </row>
    <row r="1755" spans="1:22" s="53" customFormat="1" x14ac:dyDescent="0.35">
      <c r="A1755" s="2"/>
      <c r="B1755" s="3"/>
      <c r="C1755" s="3"/>
      <c r="D1755" s="3"/>
      <c r="E1755"/>
      <c r="F1755"/>
      <c r="G1755"/>
      <c r="H1755" s="34"/>
      <c r="I1755"/>
      <c r="J1755"/>
      <c r="K1755"/>
      <c r="L1755"/>
      <c r="M1755"/>
      <c r="N1755"/>
      <c r="O1755"/>
      <c r="P1755"/>
      <c r="Q1755"/>
      <c r="R1755" s="8"/>
      <c r="S1755" s="1"/>
      <c r="T1755"/>
      <c r="U1755"/>
      <c r="V1755"/>
    </row>
    <row r="1756" spans="1:22" s="53" customFormat="1" x14ac:dyDescent="0.35">
      <c r="A1756" s="2"/>
      <c r="B1756" s="3"/>
      <c r="C1756" s="3"/>
      <c r="D1756" s="3"/>
      <c r="E1756"/>
      <c r="F1756"/>
      <c r="G1756"/>
      <c r="H1756" s="34"/>
      <c r="I1756"/>
      <c r="J1756"/>
      <c r="K1756"/>
      <c r="L1756"/>
      <c r="M1756"/>
      <c r="N1756"/>
      <c r="O1756"/>
      <c r="P1756"/>
      <c r="Q1756"/>
      <c r="R1756" s="8"/>
      <c r="S1756" s="1"/>
      <c r="T1756"/>
      <c r="U1756"/>
      <c r="V1756"/>
    </row>
    <row r="1757" spans="1:22" s="53" customFormat="1" x14ac:dyDescent="0.35">
      <c r="A1757" s="2"/>
      <c r="B1757" s="3"/>
      <c r="C1757" s="3"/>
      <c r="D1757" s="3"/>
      <c r="E1757"/>
      <c r="F1757"/>
      <c r="G1757"/>
      <c r="H1757" s="34"/>
      <c r="I1757"/>
      <c r="J1757"/>
      <c r="K1757"/>
      <c r="L1757"/>
      <c r="M1757"/>
      <c r="N1757"/>
      <c r="O1757"/>
      <c r="P1757"/>
      <c r="Q1757"/>
      <c r="R1757" s="8"/>
      <c r="S1757" s="1"/>
      <c r="T1757"/>
      <c r="U1757"/>
      <c r="V1757"/>
    </row>
    <row r="1758" spans="1:22" s="53" customFormat="1" x14ac:dyDescent="0.35">
      <c r="A1758" s="2"/>
      <c r="B1758" s="3"/>
      <c r="C1758" s="3"/>
      <c r="D1758" s="3"/>
      <c r="E1758"/>
      <c r="F1758"/>
      <c r="G1758"/>
      <c r="H1758" s="34"/>
      <c r="I1758"/>
      <c r="J1758"/>
      <c r="K1758"/>
      <c r="L1758"/>
      <c r="M1758"/>
      <c r="N1758"/>
      <c r="O1758"/>
      <c r="P1758"/>
      <c r="Q1758"/>
      <c r="R1758" s="8"/>
      <c r="S1758" s="1"/>
      <c r="T1758"/>
      <c r="U1758"/>
      <c r="V1758"/>
    </row>
    <row r="1759" spans="1:22" s="53" customFormat="1" x14ac:dyDescent="0.35">
      <c r="A1759" s="2"/>
      <c r="B1759" s="3"/>
      <c r="C1759" s="3"/>
      <c r="D1759" s="3"/>
      <c r="E1759"/>
      <c r="F1759"/>
      <c r="G1759"/>
      <c r="H1759" s="34"/>
      <c r="I1759"/>
      <c r="J1759"/>
      <c r="K1759"/>
      <c r="L1759"/>
      <c r="M1759"/>
      <c r="N1759"/>
      <c r="O1759"/>
      <c r="P1759"/>
      <c r="Q1759"/>
      <c r="R1759" s="8"/>
      <c r="S1759" s="1"/>
      <c r="T1759"/>
      <c r="U1759"/>
      <c r="V1759"/>
    </row>
    <row r="1760" spans="1:22" s="53" customFormat="1" x14ac:dyDescent="0.35">
      <c r="A1760" s="2"/>
      <c r="B1760" s="3"/>
      <c r="C1760" s="3"/>
      <c r="D1760" s="3"/>
      <c r="E1760"/>
      <c r="F1760"/>
      <c r="G1760"/>
      <c r="H1760" s="34"/>
      <c r="I1760"/>
      <c r="J1760"/>
      <c r="K1760"/>
      <c r="L1760"/>
      <c r="M1760"/>
      <c r="N1760"/>
      <c r="O1760"/>
      <c r="P1760"/>
      <c r="Q1760"/>
      <c r="R1760" s="8"/>
      <c r="S1760" s="1"/>
      <c r="T1760"/>
      <c r="U1760"/>
      <c r="V1760"/>
    </row>
    <row r="1761" spans="1:22" s="53" customFormat="1" x14ac:dyDescent="0.35">
      <c r="A1761" s="2"/>
      <c r="B1761" s="3"/>
      <c r="C1761" s="3"/>
      <c r="D1761" s="3"/>
      <c r="E1761"/>
      <c r="F1761"/>
      <c r="G1761"/>
      <c r="H1761" s="34"/>
      <c r="I1761"/>
      <c r="J1761"/>
      <c r="K1761"/>
      <c r="L1761"/>
      <c r="M1761"/>
      <c r="N1761"/>
      <c r="O1761"/>
      <c r="P1761"/>
      <c r="Q1761"/>
      <c r="R1761" s="8"/>
      <c r="S1761" s="1"/>
      <c r="T1761"/>
      <c r="U1761"/>
      <c r="V1761"/>
    </row>
    <row r="1762" spans="1:22" s="53" customFormat="1" x14ac:dyDescent="0.35">
      <c r="A1762" s="2"/>
      <c r="B1762" s="3"/>
      <c r="C1762" s="3"/>
      <c r="D1762" s="3"/>
      <c r="E1762"/>
      <c r="F1762"/>
      <c r="G1762"/>
      <c r="H1762" s="34"/>
      <c r="I1762"/>
      <c r="J1762"/>
      <c r="K1762"/>
      <c r="L1762"/>
      <c r="M1762"/>
      <c r="N1762"/>
      <c r="O1762"/>
      <c r="P1762"/>
      <c r="Q1762"/>
      <c r="R1762" s="8"/>
      <c r="S1762" s="1"/>
      <c r="T1762"/>
      <c r="U1762"/>
      <c r="V1762"/>
    </row>
    <row r="1763" spans="1:22" s="53" customFormat="1" x14ac:dyDescent="0.35">
      <c r="A1763" s="2"/>
      <c r="B1763" s="3"/>
      <c r="C1763" s="3"/>
      <c r="D1763" s="3"/>
      <c r="E1763"/>
      <c r="F1763"/>
      <c r="G1763"/>
      <c r="H1763" s="34"/>
      <c r="I1763"/>
      <c r="J1763"/>
      <c r="K1763"/>
      <c r="L1763"/>
      <c r="M1763"/>
      <c r="N1763"/>
      <c r="O1763"/>
      <c r="P1763"/>
      <c r="Q1763"/>
      <c r="R1763" s="8"/>
      <c r="S1763" s="1"/>
      <c r="T1763"/>
      <c r="U1763"/>
      <c r="V1763"/>
    </row>
    <row r="1764" spans="1:22" s="53" customFormat="1" x14ac:dyDescent="0.35">
      <c r="A1764" s="2"/>
      <c r="B1764" s="3"/>
      <c r="C1764" s="3"/>
      <c r="D1764" s="3"/>
      <c r="E1764"/>
      <c r="F1764"/>
      <c r="G1764"/>
      <c r="H1764" s="34"/>
      <c r="I1764"/>
      <c r="J1764"/>
      <c r="K1764"/>
      <c r="L1764"/>
      <c r="M1764"/>
      <c r="N1764"/>
      <c r="O1764"/>
      <c r="P1764"/>
      <c r="Q1764"/>
      <c r="R1764" s="8"/>
      <c r="S1764" s="1"/>
      <c r="T1764"/>
      <c r="U1764"/>
      <c r="V1764"/>
    </row>
    <row r="1765" spans="1:22" s="53" customFormat="1" x14ac:dyDescent="0.35">
      <c r="A1765" s="2"/>
      <c r="B1765" s="3"/>
      <c r="C1765" s="3"/>
      <c r="D1765" s="3"/>
      <c r="E1765"/>
      <c r="F1765"/>
      <c r="G1765"/>
      <c r="H1765" s="34"/>
      <c r="I1765"/>
      <c r="J1765"/>
      <c r="K1765"/>
      <c r="L1765"/>
      <c r="M1765"/>
      <c r="N1765"/>
      <c r="O1765"/>
      <c r="P1765"/>
      <c r="Q1765"/>
      <c r="R1765" s="8"/>
      <c r="S1765" s="1"/>
      <c r="T1765"/>
      <c r="U1765"/>
      <c r="V1765"/>
    </row>
    <row r="1766" spans="1:22" s="53" customFormat="1" x14ac:dyDescent="0.35">
      <c r="A1766" s="2"/>
      <c r="B1766" s="3"/>
      <c r="C1766" s="3"/>
      <c r="D1766" s="3"/>
      <c r="E1766"/>
      <c r="F1766"/>
      <c r="G1766"/>
      <c r="H1766" s="34"/>
      <c r="I1766"/>
      <c r="J1766"/>
      <c r="K1766"/>
      <c r="L1766"/>
      <c r="M1766"/>
      <c r="N1766"/>
      <c r="O1766"/>
      <c r="P1766"/>
      <c r="Q1766"/>
      <c r="R1766" s="8"/>
      <c r="S1766" s="1"/>
      <c r="T1766"/>
      <c r="U1766"/>
      <c r="V1766"/>
    </row>
    <row r="1767" spans="1:22" s="53" customFormat="1" x14ac:dyDescent="0.35">
      <c r="A1767" s="2"/>
      <c r="B1767" s="3"/>
      <c r="C1767" s="3"/>
      <c r="D1767" s="3"/>
      <c r="E1767"/>
      <c r="F1767"/>
      <c r="G1767"/>
      <c r="H1767" s="34"/>
      <c r="I1767"/>
      <c r="J1767"/>
      <c r="K1767"/>
      <c r="L1767"/>
      <c r="M1767"/>
      <c r="N1767"/>
      <c r="O1767"/>
      <c r="P1767"/>
      <c r="Q1767"/>
      <c r="R1767" s="8"/>
      <c r="S1767" s="1"/>
      <c r="T1767"/>
      <c r="U1767"/>
      <c r="V1767"/>
    </row>
    <row r="1768" spans="1:22" s="53" customFormat="1" x14ac:dyDescent="0.35">
      <c r="A1768" s="2"/>
      <c r="B1768" s="3"/>
      <c r="C1768" s="3"/>
      <c r="D1768" s="3"/>
      <c r="E1768"/>
      <c r="F1768"/>
      <c r="G1768"/>
      <c r="H1768" s="34"/>
      <c r="I1768"/>
      <c r="J1768"/>
      <c r="K1768"/>
      <c r="L1768"/>
      <c r="M1768"/>
      <c r="N1768"/>
      <c r="O1768"/>
      <c r="P1768"/>
      <c r="Q1768"/>
      <c r="R1768" s="8"/>
      <c r="S1768" s="1"/>
      <c r="T1768"/>
      <c r="U1768"/>
      <c r="V1768"/>
    </row>
    <row r="1769" spans="1:22" s="53" customFormat="1" x14ac:dyDescent="0.35">
      <c r="A1769" s="2"/>
      <c r="B1769" s="3"/>
      <c r="C1769" s="3"/>
      <c r="D1769" s="3"/>
      <c r="E1769"/>
      <c r="F1769"/>
      <c r="G1769"/>
      <c r="H1769" s="34"/>
      <c r="I1769"/>
      <c r="J1769"/>
      <c r="K1769"/>
      <c r="L1769"/>
      <c r="M1769"/>
      <c r="N1769"/>
      <c r="O1769"/>
      <c r="P1769"/>
      <c r="Q1769"/>
      <c r="R1769" s="8"/>
      <c r="S1769" s="1"/>
      <c r="T1769"/>
      <c r="U1769"/>
      <c r="V1769"/>
    </row>
    <row r="1770" spans="1:22" s="53" customFormat="1" x14ac:dyDescent="0.35">
      <c r="A1770" s="2"/>
      <c r="B1770" s="3"/>
      <c r="C1770" s="3"/>
      <c r="D1770" s="3"/>
      <c r="E1770"/>
      <c r="F1770"/>
      <c r="G1770"/>
      <c r="H1770" s="34"/>
      <c r="I1770"/>
      <c r="J1770"/>
      <c r="K1770"/>
      <c r="L1770"/>
      <c r="M1770"/>
      <c r="N1770"/>
      <c r="O1770"/>
      <c r="P1770"/>
      <c r="Q1770"/>
      <c r="R1770" s="8"/>
      <c r="S1770" s="1"/>
      <c r="T1770"/>
      <c r="U1770"/>
      <c r="V1770"/>
    </row>
    <row r="1771" spans="1:22" s="53" customFormat="1" x14ac:dyDescent="0.35">
      <c r="A1771" s="2"/>
      <c r="B1771" s="3"/>
      <c r="C1771" s="3"/>
      <c r="D1771" s="3"/>
      <c r="E1771"/>
      <c r="F1771"/>
      <c r="G1771"/>
      <c r="H1771" s="34"/>
      <c r="I1771"/>
      <c r="J1771"/>
      <c r="K1771"/>
      <c r="L1771"/>
      <c r="M1771"/>
      <c r="N1771"/>
      <c r="O1771"/>
      <c r="P1771"/>
      <c r="Q1771"/>
      <c r="R1771" s="8"/>
      <c r="S1771" s="1"/>
      <c r="T1771"/>
      <c r="U1771"/>
      <c r="V1771"/>
    </row>
    <row r="1772" spans="1:22" s="53" customFormat="1" x14ac:dyDescent="0.35">
      <c r="A1772" s="2"/>
      <c r="B1772" s="3"/>
      <c r="C1772" s="3"/>
      <c r="D1772" s="3"/>
      <c r="E1772"/>
      <c r="F1772"/>
      <c r="G1772"/>
      <c r="H1772" s="34"/>
      <c r="I1772"/>
      <c r="J1772"/>
      <c r="K1772"/>
      <c r="L1772"/>
      <c r="M1772"/>
      <c r="N1772"/>
      <c r="O1772"/>
      <c r="P1772"/>
      <c r="Q1772"/>
      <c r="R1772" s="8"/>
      <c r="S1772" s="1"/>
      <c r="T1772"/>
      <c r="U1772"/>
      <c r="V1772"/>
    </row>
    <row r="1773" spans="1:22" s="53" customFormat="1" x14ac:dyDescent="0.35">
      <c r="A1773" s="2"/>
      <c r="B1773" s="3"/>
      <c r="C1773" s="3"/>
      <c r="D1773" s="3"/>
      <c r="E1773"/>
      <c r="F1773"/>
      <c r="G1773"/>
      <c r="H1773" s="34"/>
      <c r="I1773"/>
      <c r="J1773"/>
      <c r="K1773"/>
      <c r="L1773"/>
      <c r="M1773"/>
      <c r="N1773"/>
      <c r="O1773"/>
      <c r="P1773"/>
      <c r="Q1773"/>
      <c r="R1773" s="8"/>
      <c r="S1773" s="1"/>
      <c r="T1773"/>
      <c r="U1773"/>
      <c r="V1773"/>
    </row>
    <row r="1774" spans="1:22" s="53" customFormat="1" x14ac:dyDescent="0.35">
      <c r="A1774" s="2"/>
      <c r="B1774" s="3"/>
      <c r="C1774" s="3"/>
      <c r="D1774" s="3"/>
      <c r="E1774"/>
      <c r="F1774"/>
      <c r="G1774"/>
      <c r="H1774" s="34"/>
      <c r="I1774"/>
      <c r="J1774"/>
      <c r="K1774"/>
      <c r="L1774"/>
      <c r="M1774"/>
      <c r="N1774"/>
      <c r="O1774"/>
      <c r="P1774"/>
      <c r="Q1774"/>
      <c r="R1774" s="8"/>
      <c r="S1774" s="1"/>
      <c r="T1774"/>
      <c r="U1774"/>
      <c r="V1774"/>
    </row>
    <row r="1775" spans="1:22" s="53" customFormat="1" x14ac:dyDescent="0.35">
      <c r="A1775" s="2"/>
      <c r="B1775" s="3"/>
      <c r="C1775" s="3"/>
      <c r="D1775" s="3"/>
      <c r="E1775"/>
      <c r="F1775"/>
      <c r="G1775"/>
      <c r="H1775" s="34"/>
      <c r="I1775"/>
      <c r="J1775"/>
      <c r="K1775"/>
      <c r="L1775"/>
      <c r="M1775"/>
      <c r="N1775"/>
      <c r="O1775"/>
      <c r="P1775"/>
      <c r="Q1775"/>
      <c r="R1775" s="8"/>
      <c r="S1775" s="1"/>
      <c r="T1775"/>
      <c r="U1775"/>
      <c r="V1775"/>
    </row>
    <row r="1776" spans="1:22" s="53" customFormat="1" x14ac:dyDescent="0.35">
      <c r="A1776" s="2"/>
      <c r="B1776" s="3"/>
      <c r="C1776" s="3"/>
      <c r="D1776" s="3"/>
      <c r="E1776"/>
      <c r="F1776"/>
      <c r="G1776"/>
      <c r="H1776" s="34"/>
      <c r="I1776"/>
      <c r="J1776"/>
      <c r="K1776"/>
      <c r="L1776"/>
      <c r="M1776"/>
      <c r="N1776"/>
      <c r="O1776"/>
      <c r="P1776"/>
      <c r="Q1776"/>
      <c r="R1776" s="8"/>
      <c r="S1776" s="1"/>
      <c r="T1776"/>
      <c r="U1776"/>
      <c r="V1776"/>
    </row>
    <row r="1777" spans="1:22" s="53" customFormat="1" x14ac:dyDescent="0.35">
      <c r="A1777" s="2"/>
      <c r="B1777" s="3"/>
      <c r="C1777" s="3"/>
      <c r="D1777" s="3"/>
      <c r="E1777"/>
      <c r="F1777"/>
      <c r="G1777"/>
      <c r="H1777" s="34"/>
      <c r="I1777"/>
      <c r="J1777"/>
      <c r="K1777"/>
      <c r="L1777"/>
      <c r="M1777"/>
      <c r="N1777"/>
      <c r="O1777"/>
      <c r="P1777"/>
      <c r="Q1777"/>
      <c r="R1777" s="8"/>
      <c r="S1777" s="1"/>
      <c r="T1777"/>
      <c r="U1777"/>
      <c r="V1777"/>
    </row>
    <row r="1778" spans="1:22" s="53" customFormat="1" x14ac:dyDescent="0.35">
      <c r="A1778" s="2"/>
      <c r="B1778" s="3"/>
      <c r="C1778" s="3"/>
      <c r="D1778" s="3"/>
      <c r="E1778"/>
      <c r="F1778"/>
      <c r="G1778"/>
      <c r="H1778" s="34"/>
      <c r="I1778"/>
      <c r="J1778"/>
      <c r="K1778"/>
      <c r="L1778"/>
      <c r="M1778"/>
      <c r="N1778"/>
      <c r="O1778"/>
      <c r="P1778"/>
      <c r="Q1778"/>
      <c r="R1778" s="8"/>
      <c r="S1778" s="1"/>
      <c r="T1778"/>
      <c r="U1778"/>
      <c r="V1778"/>
    </row>
    <row r="1779" spans="1:22" s="53" customFormat="1" x14ac:dyDescent="0.35">
      <c r="A1779" s="2"/>
      <c r="B1779" s="3"/>
      <c r="C1779" s="3"/>
      <c r="D1779" s="3"/>
      <c r="E1779"/>
      <c r="F1779"/>
      <c r="G1779"/>
      <c r="H1779" s="34"/>
      <c r="I1779"/>
      <c r="J1779"/>
      <c r="K1779"/>
      <c r="L1779"/>
      <c r="M1779"/>
      <c r="N1779"/>
      <c r="O1779"/>
      <c r="P1779"/>
      <c r="Q1779"/>
      <c r="R1779" s="8"/>
      <c r="S1779" s="1"/>
      <c r="T1779"/>
      <c r="U1779"/>
      <c r="V1779"/>
    </row>
    <row r="1780" spans="1:22" s="53" customFormat="1" x14ac:dyDescent="0.35">
      <c r="A1780" s="2"/>
      <c r="B1780" s="3"/>
      <c r="C1780" s="3"/>
      <c r="D1780" s="3"/>
      <c r="E1780"/>
      <c r="F1780"/>
      <c r="G1780"/>
      <c r="H1780" s="34"/>
      <c r="I1780"/>
      <c r="J1780"/>
      <c r="K1780"/>
      <c r="L1780"/>
      <c r="M1780"/>
      <c r="N1780"/>
      <c r="O1780"/>
      <c r="P1780"/>
      <c r="Q1780"/>
      <c r="R1780" s="8"/>
      <c r="S1780" s="1"/>
      <c r="T1780"/>
      <c r="U1780"/>
      <c r="V1780"/>
    </row>
    <row r="1781" spans="1:22" s="53" customFormat="1" x14ac:dyDescent="0.35">
      <c r="A1781" s="2"/>
      <c r="B1781" s="3"/>
      <c r="C1781" s="3"/>
      <c r="D1781" s="3"/>
      <c r="E1781"/>
      <c r="F1781"/>
      <c r="G1781"/>
      <c r="H1781" s="34"/>
      <c r="I1781"/>
      <c r="J1781"/>
      <c r="K1781"/>
      <c r="L1781"/>
      <c r="M1781"/>
      <c r="N1781"/>
      <c r="O1781"/>
      <c r="P1781"/>
      <c r="Q1781"/>
      <c r="R1781" s="8"/>
      <c r="S1781" s="1"/>
      <c r="T1781"/>
      <c r="U1781"/>
      <c r="V1781"/>
    </row>
    <row r="1782" spans="1:22" s="53" customFormat="1" x14ac:dyDescent="0.35">
      <c r="A1782" s="2"/>
      <c r="B1782" s="3"/>
      <c r="C1782" s="3"/>
      <c r="D1782" s="3"/>
      <c r="E1782"/>
      <c r="F1782"/>
      <c r="G1782"/>
      <c r="H1782" s="34"/>
      <c r="I1782"/>
      <c r="J1782"/>
      <c r="K1782"/>
      <c r="L1782"/>
      <c r="M1782"/>
      <c r="N1782"/>
      <c r="O1782"/>
      <c r="P1782"/>
      <c r="Q1782"/>
      <c r="R1782" s="8"/>
      <c r="S1782" s="1"/>
      <c r="T1782"/>
      <c r="U1782"/>
      <c r="V1782"/>
    </row>
    <row r="1783" spans="1:22" s="53" customFormat="1" x14ac:dyDescent="0.35">
      <c r="A1783" s="2"/>
      <c r="B1783" s="3"/>
      <c r="C1783" s="3"/>
      <c r="D1783" s="3"/>
      <c r="E1783"/>
      <c r="F1783"/>
      <c r="G1783"/>
      <c r="H1783" s="34"/>
      <c r="I1783"/>
      <c r="J1783"/>
      <c r="K1783"/>
      <c r="L1783"/>
      <c r="M1783"/>
      <c r="N1783"/>
      <c r="O1783"/>
      <c r="P1783"/>
      <c r="Q1783"/>
      <c r="R1783" s="8"/>
      <c r="S1783" s="1"/>
      <c r="T1783"/>
      <c r="U1783"/>
      <c r="V1783"/>
    </row>
    <row r="1784" spans="1:22" s="53" customFormat="1" x14ac:dyDescent="0.35">
      <c r="A1784" s="2"/>
      <c r="B1784" s="3"/>
      <c r="C1784" s="3"/>
      <c r="D1784" s="3"/>
      <c r="E1784"/>
      <c r="F1784"/>
      <c r="G1784"/>
      <c r="H1784" s="34"/>
      <c r="I1784"/>
      <c r="J1784"/>
      <c r="K1784"/>
      <c r="L1784"/>
      <c r="M1784"/>
      <c r="N1784"/>
      <c r="O1784"/>
      <c r="P1784"/>
      <c r="Q1784"/>
      <c r="R1784" s="8"/>
      <c r="S1784" s="1"/>
      <c r="T1784"/>
      <c r="U1784"/>
      <c r="V1784"/>
    </row>
    <row r="1785" spans="1:22" s="53" customFormat="1" x14ac:dyDescent="0.35">
      <c r="A1785" s="2"/>
      <c r="B1785" s="3"/>
      <c r="C1785" s="3"/>
      <c r="D1785" s="3"/>
      <c r="E1785"/>
      <c r="F1785"/>
      <c r="G1785"/>
      <c r="H1785" s="34"/>
      <c r="I1785"/>
      <c r="J1785"/>
      <c r="K1785"/>
      <c r="L1785"/>
      <c r="M1785"/>
      <c r="N1785"/>
      <c r="O1785"/>
      <c r="P1785"/>
      <c r="Q1785"/>
      <c r="R1785" s="8"/>
      <c r="S1785" s="1"/>
      <c r="T1785"/>
      <c r="U1785"/>
      <c r="V1785"/>
    </row>
    <row r="1786" spans="1:22" s="53" customFormat="1" x14ac:dyDescent="0.35">
      <c r="A1786" s="2"/>
      <c r="B1786" s="3"/>
      <c r="C1786" s="3"/>
      <c r="D1786" s="3"/>
      <c r="E1786"/>
      <c r="F1786"/>
      <c r="G1786"/>
      <c r="H1786" s="34"/>
      <c r="I1786"/>
      <c r="J1786"/>
      <c r="K1786"/>
      <c r="L1786"/>
      <c r="M1786"/>
      <c r="N1786"/>
      <c r="O1786"/>
      <c r="P1786"/>
      <c r="Q1786"/>
      <c r="R1786" s="8"/>
      <c r="S1786" s="1"/>
      <c r="T1786"/>
      <c r="U1786"/>
      <c r="V1786"/>
    </row>
    <row r="1787" spans="1:22" s="53" customFormat="1" x14ac:dyDescent="0.35">
      <c r="A1787" s="2"/>
      <c r="B1787" s="3"/>
      <c r="C1787" s="3"/>
      <c r="D1787" s="3"/>
      <c r="E1787"/>
      <c r="F1787"/>
      <c r="G1787"/>
      <c r="H1787" s="34"/>
      <c r="I1787"/>
      <c r="J1787"/>
      <c r="K1787"/>
      <c r="L1787"/>
      <c r="M1787"/>
      <c r="N1787"/>
      <c r="O1787"/>
      <c r="P1787"/>
      <c r="Q1787"/>
      <c r="R1787" s="8"/>
      <c r="S1787" s="1"/>
      <c r="T1787"/>
      <c r="U1787"/>
      <c r="V1787"/>
    </row>
    <row r="1788" spans="1:22" s="53" customFormat="1" x14ac:dyDescent="0.35">
      <c r="A1788" s="2"/>
      <c r="B1788" s="3"/>
      <c r="C1788" s="3"/>
      <c r="D1788" s="3"/>
      <c r="E1788"/>
      <c r="F1788"/>
      <c r="G1788"/>
      <c r="H1788" s="34"/>
      <c r="I1788"/>
      <c r="J1788"/>
      <c r="K1788"/>
      <c r="L1788"/>
      <c r="M1788"/>
      <c r="N1788"/>
      <c r="O1788"/>
      <c r="P1788"/>
      <c r="Q1788"/>
      <c r="R1788" s="8"/>
      <c r="S1788" s="1"/>
      <c r="T1788"/>
      <c r="U1788"/>
      <c r="V1788"/>
    </row>
    <row r="1789" spans="1:22" s="53" customFormat="1" x14ac:dyDescent="0.35">
      <c r="A1789" s="2"/>
      <c r="B1789" s="3"/>
      <c r="C1789" s="3"/>
      <c r="D1789" s="3"/>
      <c r="E1789"/>
      <c r="F1789"/>
      <c r="G1789"/>
      <c r="H1789" s="34"/>
      <c r="I1789"/>
      <c r="J1789"/>
      <c r="K1789"/>
      <c r="L1789"/>
      <c r="M1789"/>
      <c r="N1789"/>
      <c r="O1789"/>
      <c r="P1789"/>
      <c r="Q1789"/>
      <c r="R1789" s="8"/>
      <c r="S1789" s="1"/>
      <c r="T1789"/>
      <c r="U1789"/>
      <c r="V1789"/>
    </row>
    <row r="1790" spans="1:22" s="53" customFormat="1" x14ac:dyDescent="0.35">
      <c r="A1790" s="2"/>
      <c r="B1790" s="3"/>
      <c r="C1790" s="3"/>
      <c r="D1790" s="3"/>
      <c r="E1790"/>
      <c r="F1790"/>
      <c r="G1790"/>
      <c r="H1790" s="34"/>
      <c r="I1790"/>
      <c r="J1790"/>
      <c r="K1790"/>
      <c r="L1790"/>
      <c r="M1790"/>
      <c r="N1790"/>
      <c r="O1790"/>
      <c r="P1790"/>
      <c r="Q1790"/>
      <c r="R1790" s="8"/>
      <c r="S1790" s="1"/>
      <c r="T1790"/>
      <c r="U1790"/>
      <c r="V1790"/>
    </row>
    <row r="1791" spans="1:22" s="53" customFormat="1" x14ac:dyDescent="0.35">
      <c r="A1791" s="2"/>
      <c r="B1791" s="3"/>
      <c r="C1791" s="3"/>
      <c r="D1791" s="3"/>
      <c r="E1791"/>
      <c r="F1791"/>
      <c r="G1791"/>
      <c r="H1791" s="34"/>
      <c r="I1791"/>
      <c r="J1791"/>
      <c r="K1791"/>
      <c r="L1791"/>
      <c r="M1791"/>
      <c r="N1791"/>
      <c r="O1791"/>
      <c r="P1791"/>
      <c r="Q1791"/>
      <c r="R1791" s="8"/>
      <c r="S1791" s="1"/>
      <c r="T1791"/>
      <c r="U1791"/>
      <c r="V1791"/>
    </row>
    <row r="1792" spans="1:22" s="53" customFormat="1" x14ac:dyDescent="0.35">
      <c r="A1792" s="2"/>
      <c r="B1792" s="3"/>
      <c r="C1792" s="3"/>
      <c r="D1792" s="3"/>
      <c r="E1792"/>
      <c r="F1792"/>
      <c r="G1792"/>
      <c r="H1792" s="34"/>
      <c r="I1792"/>
      <c r="J1792"/>
      <c r="K1792"/>
      <c r="L1792"/>
      <c r="M1792"/>
      <c r="N1792"/>
      <c r="O1792"/>
      <c r="P1792"/>
      <c r="Q1792"/>
      <c r="R1792" s="8"/>
      <c r="S1792" s="1"/>
      <c r="T1792"/>
      <c r="U1792"/>
      <c r="V1792"/>
    </row>
    <row r="1793" spans="1:22" s="53" customFormat="1" x14ac:dyDescent="0.35">
      <c r="A1793" s="2"/>
      <c r="B1793" s="3"/>
      <c r="C1793" s="3"/>
      <c r="D1793" s="3"/>
      <c r="E1793"/>
      <c r="F1793"/>
      <c r="G1793"/>
      <c r="H1793" s="34"/>
      <c r="I1793"/>
      <c r="J1793"/>
      <c r="K1793"/>
      <c r="L1793"/>
      <c r="M1793"/>
      <c r="N1793"/>
      <c r="O1793"/>
      <c r="P1793"/>
      <c r="Q1793"/>
      <c r="R1793" s="8"/>
      <c r="S1793" s="1"/>
      <c r="T1793"/>
      <c r="U1793"/>
      <c r="V1793"/>
    </row>
    <row r="1794" spans="1:22" s="53" customFormat="1" x14ac:dyDescent="0.35">
      <c r="A1794" s="2"/>
      <c r="B1794" s="3"/>
      <c r="C1794" s="3"/>
      <c r="D1794" s="3"/>
      <c r="E1794"/>
      <c r="F1794"/>
      <c r="G1794"/>
      <c r="H1794" s="34"/>
      <c r="I1794"/>
      <c r="J1794"/>
      <c r="K1794"/>
      <c r="L1794"/>
      <c r="M1794"/>
      <c r="N1794"/>
      <c r="O1794"/>
      <c r="P1794"/>
      <c r="Q1794"/>
      <c r="R1794" s="8"/>
      <c r="S1794" s="1"/>
      <c r="T1794"/>
      <c r="U1794"/>
      <c r="V1794"/>
    </row>
    <row r="1795" spans="1:22" s="53" customFormat="1" x14ac:dyDescent="0.35">
      <c r="A1795" s="2"/>
      <c r="B1795" s="3"/>
      <c r="C1795" s="3"/>
      <c r="D1795" s="3"/>
      <c r="E1795"/>
      <c r="F1795"/>
      <c r="G1795"/>
      <c r="H1795" s="34"/>
      <c r="I1795"/>
      <c r="J1795"/>
      <c r="K1795"/>
      <c r="L1795"/>
      <c r="M1795"/>
      <c r="N1795"/>
      <c r="O1795"/>
      <c r="P1795"/>
      <c r="Q1795"/>
      <c r="R1795" s="8"/>
      <c r="S1795" s="1"/>
      <c r="T1795"/>
      <c r="U1795"/>
      <c r="V1795"/>
    </row>
    <row r="1796" spans="1:22" s="53" customFormat="1" x14ac:dyDescent="0.35">
      <c r="A1796" s="2"/>
      <c r="B1796" s="3"/>
      <c r="C1796" s="3"/>
      <c r="D1796" s="3"/>
      <c r="E1796"/>
      <c r="F1796"/>
      <c r="G1796"/>
      <c r="H1796" s="34"/>
      <c r="I1796"/>
      <c r="J1796"/>
      <c r="K1796"/>
      <c r="L1796"/>
      <c r="M1796"/>
      <c r="N1796"/>
      <c r="O1796"/>
      <c r="P1796"/>
      <c r="Q1796"/>
      <c r="R1796" s="8"/>
      <c r="S1796" s="1"/>
      <c r="T1796"/>
      <c r="U1796"/>
      <c r="V1796"/>
    </row>
    <row r="1797" spans="1:22" s="53" customFormat="1" x14ac:dyDescent="0.35">
      <c r="A1797" s="2"/>
      <c r="B1797" s="3"/>
      <c r="C1797" s="3"/>
      <c r="D1797" s="3"/>
      <c r="E1797"/>
      <c r="F1797"/>
      <c r="G1797"/>
      <c r="H1797" s="34"/>
      <c r="I1797"/>
      <c r="J1797"/>
      <c r="K1797"/>
      <c r="L1797"/>
      <c r="M1797"/>
      <c r="N1797"/>
      <c r="O1797"/>
      <c r="P1797"/>
      <c r="Q1797"/>
      <c r="R1797" s="8"/>
      <c r="S1797" s="1"/>
      <c r="T1797"/>
      <c r="U1797"/>
      <c r="V1797"/>
    </row>
    <row r="1798" spans="1:22" s="53" customFormat="1" x14ac:dyDescent="0.35">
      <c r="A1798" s="2"/>
      <c r="B1798" s="3"/>
      <c r="C1798" s="3"/>
      <c r="D1798" s="3"/>
      <c r="E1798"/>
      <c r="F1798"/>
      <c r="G1798"/>
      <c r="H1798" s="34"/>
      <c r="I1798"/>
      <c r="J1798"/>
      <c r="K1798"/>
      <c r="L1798"/>
      <c r="M1798"/>
      <c r="N1798"/>
      <c r="O1798"/>
      <c r="P1798"/>
      <c r="Q1798"/>
      <c r="R1798" s="8"/>
      <c r="S1798" s="1"/>
      <c r="T1798"/>
      <c r="U1798"/>
      <c r="V1798"/>
    </row>
    <row r="1799" spans="1:22" s="53" customFormat="1" x14ac:dyDescent="0.35">
      <c r="A1799" s="2"/>
      <c r="B1799" s="3"/>
      <c r="C1799" s="3"/>
      <c r="D1799" s="3"/>
      <c r="E1799"/>
      <c r="F1799"/>
      <c r="G1799"/>
      <c r="H1799" s="34"/>
      <c r="I1799"/>
      <c r="J1799"/>
      <c r="K1799"/>
      <c r="L1799"/>
      <c r="M1799"/>
      <c r="N1799"/>
      <c r="O1799"/>
      <c r="P1799"/>
      <c r="Q1799"/>
      <c r="R1799" s="8"/>
      <c r="S1799" s="1"/>
      <c r="T1799"/>
      <c r="U1799"/>
      <c r="V1799"/>
    </row>
    <row r="1800" spans="1:22" s="53" customFormat="1" x14ac:dyDescent="0.35">
      <c r="A1800" s="2"/>
      <c r="B1800" s="3"/>
      <c r="C1800" s="3"/>
      <c r="D1800" s="3"/>
      <c r="E1800"/>
      <c r="F1800"/>
      <c r="G1800"/>
      <c r="H1800" s="34"/>
      <c r="I1800"/>
      <c r="J1800"/>
      <c r="K1800"/>
      <c r="L1800"/>
      <c r="M1800"/>
      <c r="N1800"/>
      <c r="O1800"/>
      <c r="P1800"/>
      <c r="Q1800"/>
      <c r="R1800" s="8"/>
      <c r="S1800" s="1"/>
      <c r="T1800"/>
      <c r="U1800"/>
      <c r="V1800"/>
    </row>
    <row r="1801" spans="1:22" s="53" customFormat="1" x14ac:dyDescent="0.35">
      <c r="A1801" s="2"/>
      <c r="B1801" s="3"/>
      <c r="C1801" s="3"/>
      <c r="D1801" s="3"/>
      <c r="E1801"/>
      <c r="F1801"/>
      <c r="G1801"/>
      <c r="H1801" s="34"/>
      <c r="I1801"/>
      <c r="J1801"/>
      <c r="K1801"/>
      <c r="L1801"/>
      <c r="M1801"/>
      <c r="N1801"/>
      <c r="O1801"/>
      <c r="P1801"/>
      <c r="Q1801"/>
      <c r="R1801" s="8"/>
      <c r="S1801" s="1"/>
      <c r="T1801"/>
      <c r="U1801"/>
      <c r="V1801"/>
    </row>
    <row r="1802" spans="1:22" s="53" customFormat="1" x14ac:dyDescent="0.35">
      <c r="A1802" s="2"/>
      <c r="B1802" s="3"/>
      <c r="C1802" s="3"/>
      <c r="D1802" s="3"/>
      <c r="E1802"/>
      <c r="F1802"/>
      <c r="G1802"/>
      <c r="H1802" s="34"/>
      <c r="I1802"/>
      <c r="J1802"/>
      <c r="K1802"/>
      <c r="L1802"/>
      <c r="M1802"/>
      <c r="N1802"/>
      <c r="O1802"/>
      <c r="P1802"/>
      <c r="Q1802"/>
      <c r="R1802" s="8"/>
      <c r="S1802" s="1"/>
      <c r="T1802"/>
      <c r="U1802"/>
      <c r="V1802"/>
    </row>
    <row r="1803" spans="1:22" s="53" customFormat="1" x14ac:dyDescent="0.35">
      <c r="A1803" s="2"/>
      <c r="B1803" s="3"/>
      <c r="C1803" s="3"/>
      <c r="D1803" s="3"/>
      <c r="E1803"/>
      <c r="F1803"/>
      <c r="G1803"/>
      <c r="H1803" s="34"/>
      <c r="I1803"/>
      <c r="J1803"/>
      <c r="K1803"/>
      <c r="L1803"/>
      <c r="M1803"/>
      <c r="N1803"/>
      <c r="O1803"/>
      <c r="P1803"/>
      <c r="Q1803"/>
      <c r="R1803" s="8"/>
      <c r="S1803" s="1"/>
      <c r="T1803"/>
      <c r="U1803"/>
      <c r="V1803"/>
    </row>
    <row r="1804" spans="1:22" s="53" customFormat="1" x14ac:dyDescent="0.35">
      <c r="A1804" s="2"/>
      <c r="B1804" s="3"/>
      <c r="C1804" s="3"/>
      <c r="D1804" s="3"/>
      <c r="E1804"/>
      <c r="F1804"/>
      <c r="G1804"/>
      <c r="H1804" s="34"/>
      <c r="I1804"/>
      <c r="J1804"/>
      <c r="K1804"/>
      <c r="L1804"/>
      <c r="M1804"/>
      <c r="N1804"/>
      <c r="O1804"/>
      <c r="P1804"/>
      <c r="Q1804"/>
      <c r="R1804" s="8"/>
      <c r="S1804" s="1"/>
      <c r="T1804"/>
      <c r="U1804"/>
      <c r="V1804"/>
    </row>
    <row r="1805" spans="1:22" s="53" customFormat="1" x14ac:dyDescent="0.35">
      <c r="A1805" s="2"/>
      <c r="B1805" s="3"/>
      <c r="C1805" s="3"/>
      <c r="D1805" s="3"/>
      <c r="E1805"/>
      <c r="F1805"/>
      <c r="G1805"/>
      <c r="H1805" s="34"/>
      <c r="I1805"/>
      <c r="J1805"/>
      <c r="K1805"/>
      <c r="L1805"/>
      <c r="M1805"/>
      <c r="N1805"/>
      <c r="O1805"/>
      <c r="P1805"/>
      <c r="Q1805"/>
      <c r="R1805" s="8"/>
      <c r="S1805" s="1"/>
      <c r="T1805"/>
      <c r="U1805"/>
      <c r="V1805"/>
    </row>
    <row r="1806" spans="1:22" s="53" customFormat="1" x14ac:dyDescent="0.35">
      <c r="A1806" s="2"/>
      <c r="B1806" s="3"/>
      <c r="C1806" s="3"/>
      <c r="D1806" s="3"/>
      <c r="E1806"/>
      <c r="F1806"/>
      <c r="G1806"/>
      <c r="H1806" s="34"/>
      <c r="I1806"/>
      <c r="J1806"/>
      <c r="K1806"/>
      <c r="L1806"/>
      <c r="M1806"/>
      <c r="N1806"/>
      <c r="O1806"/>
      <c r="P1806"/>
      <c r="Q1806"/>
      <c r="R1806" s="8"/>
      <c r="S1806" s="1"/>
      <c r="T1806"/>
      <c r="U1806"/>
      <c r="V1806"/>
    </row>
    <row r="1807" spans="1:22" s="53" customFormat="1" x14ac:dyDescent="0.35">
      <c r="A1807" s="2"/>
      <c r="B1807" s="3"/>
      <c r="C1807" s="3"/>
      <c r="D1807" s="3"/>
      <c r="E1807"/>
      <c r="F1807"/>
      <c r="G1807"/>
      <c r="H1807" s="34"/>
      <c r="I1807"/>
      <c r="J1807"/>
      <c r="K1807"/>
      <c r="L1807"/>
      <c r="M1807"/>
      <c r="N1807"/>
      <c r="O1807"/>
      <c r="P1807"/>
      <c r="Q1807"/>
      <c r="R1807" s="8"/>
      <c r="S1807" s="1"/>
      <c r="T1807"/>
      <c r="U1807"/>
      <c r="V1807"/>
    </row>
    <row r="1808" spans="1:22" s="53" customFormat="1" x14ac:dyDescent="0.35">
      <c r="A1808" s="2"/>
      <c r="B1808" s="3"/>
      <c r="C1808" s="3"/>
      <c r="D1808" s="3"/>
      <c r="E1808"/>
      <c r="F1808"/>
      <c r="G1808"/>
      <c r="H1808" s="34"/>
      <c r="I1808"/>
      <c r="J1808"/>
      <c r="K1808"/>
      <c r="L1808"/>
      <c r="M1808"/>
      <c r="N1808"/>
      <c r="O1808"/>
      <c r="P1808"/>
      <c r="Q1808"/>
      <c r="R1808" s="8"/>
      <c r="S1808" s="1"/>
      <c r="T1808"/>
      <c r="U1808"/>
      <c r="V1808"/>
    </row>
    <row r="1809" spans="1:22" s="53" customFormat="1" x14ac:dyDescent="0.35">
      <c r="A1809" s="2"/>
      <c r="B1809" s="3"/>
      <c r="C1809" s="3"/>
      <c r="D1809" s="3"/>
      <c r="E1809"/>
      <c r="F1809"/>
      <c r="G1809"/>
      <c r="H1809" s="34"/>
      <c r="I1809"/>
      <c r="J1809"/>
      <c r="K1809"/>
      <c r="L1809"/>
      <c r="M1809"/>
      <c r="N1809"/>
      <c r="O1809"/>
      <c r="P1809"/>
      <c r="Q1809"/>
      <c r="R1809" s="8"/>
      <c r="S1809" s="1"/>
      <c r="T1809"/>
      <c r="U1809"/>
      <c r="V1809"/>
    </row>
    <row r="1810" spans="1:22" s="53" customFormat="1" x14ac:dyDescent="0.35">
      <c r="A1810" s="2"/>
      <c r="B1810" s="3"/>
      <c r="C1810" s="3"/>
      <c r="D1810" s="3"/>
      <c r="E1810"/>
      <c r="F1810"/>
      <c r="G1810"/>
      <c r="H1810" s="34"/>
      <c r="I1810"/>
      <c r="J1810"/>
      <c r="K1810"/>
      <c r="L1810"/>
      <c r="M1810"/>
      <c r="N1810"/>
      <c r="O1810"/>
      <c r="P1810"/>
      <c r="Q1810"/>
      <c r="R1810" s="8"/>
      <c r="S1810" s="1"/>
      <c r="T1810"/>
      <c r="U1810"/>
      <c r="V1810"/>
    </row>
    <row r="1811" spans="1:22" s="53" customFormat="1" x14ac:dyDescent="0.35">
      <c r="A1811" s="2"/>
      <c r="B1811" s="3"/>
      <c r="C1811" s="3"/>
      <c r="D1811" s="3"/>
      <c r="E1811"/>
      <c r="F1811"/>
      <c r="G1811"/>
      <c r="H1811" s="34"/>
      <c r="I1811"/>
      <c r="J1811"/>
      <c r="K1811"/>
      <c r="L1811"/>
      <c r="M1811"/>
      <c r="N1811"/>
      <c r="O1811"/>
      <c r="P1811"/>
      <c r="Q1811"/>
      <c r="R1811" s="8"/>
      <c r="S1811" s="1"/>
      <c r="T1811"/>
      <c r="U1811"/>
      <c r="V1811"/>
    </row>
    <row r="1812" spans="1:22" s="53" customFormat="1" x14ac:dyDescent="0.35">
      <c r="A1812" s="2"/>
      <c r="B1812" s="3"/>
      <c r="C1812" s="3"/>
      <c r="D1812" s="3"/>
      <c r="E1812"/>
      <c r="F1812"/>
      <c r="G1812"/>
      <c r="H1812" s="34"/>
      <c r="I1812"/>
      <c r="J1812"/>
      <c r="K1812"/>
      <c r="L1812"/>
      <c r="M1812"/>
      <c r="N1812"/>
      <c r="O1812"/>
      <c r="P1812"/>
      <c r="Q1812"/>
      <c r="R1812" s="8"/>
      <c r="S1812" s="1"/>
      <c r="T1812"/>
      <c r="U1812"/>
      <c r="V1812"/>
    </row>
    <row r="1813" spans="1:22" s="53" customFormat="1" x14ac:dyDescent="0.35">
      <c r="A1813" s="2"/>
      <c r="B1813" s="3"/>
      <c r="C1813" s="3"/>
      <c r="D1813" s="3"/>
      <c r="E1813"/>
      <c r="F1813"/>
      <c r="G1813"/>
      <c r="H1813" s="34"/>
      <c r="I1813"/>
      <c r="J1813"/>
      <c r="K1813"/>
      <c r="L1813"/>
      <c r="M1813"/>
      <c r="N1813"/>
      <c r="O1813"/>
      <c r="P1813"/>
      <c r="Q1813"/>
      <c r="R1813" s="8"/>
      <c r="S1813" s="1"/>
      <c r="T1813"/>
      <c r="U1813"/>
      <c r="V1813"/>
    </row>
    <row r="1814" spans="1:22" s="53" customFormat="1" x14ac:dyDescent="0.35">
      <c r="A1814" s="2"/>
      <c r="B1814" s="3"/>
      <c r="C1814" s="3"/>
      <c r="D1814" s="3"/>
      <c r="E1814"/>
      <c r="F1814"/>
      <c r="G1814"/>
      <c r="H1814" s="34"/>
      <c r="I1814"/>
      <c r="J1814"/>
      <c r="K1814"/>
      <c r="L1814"/>
      <c r="M1814"/>
      <c r="N1814"/>
      <c r="O1814"/>
      <c r="P1814"/>
      <c r="Q1814"/>
      <c r="R1814" s="8"/>
      <c r="S1814" s="1"/>
      <c r="T1814"/>
      <c r="U1814"/>
      <c r="V1814"/>
    </row>
    <row r="1815" spans="1:22" s="53" customFormat="1" x14ac:dyDescent="0.35">
      <c r="A1815" s="2"/>
      <c r="B1815" s="3"/>
      <c r="C1815" s="3"/>
      <c r="D1815" s="3"/>
      <c r="E1815"/>
      <c r="F1815"/>
      <c r="G1815"/>
      <c r="H1815" s="34"/>
      <c r="I1815"/>
      <c r="J1815"/>
      <c r="K1815"/>
      <c r="L1815"/>
      <c r="M1815"/>
      <c r="N1815"/>
      <c r="O1815"/>
      <c r="P1815"/>
      <c r="Q1815"/>
      <c r="R1815" s="8"/>
      <c r="S1815" s="1"/>
      <c r="T1815"/>
      <c r="U1815"/>
      <c r="V1815"/>
    </row>
    <row r="1816" spans="1:22" s="53" customFormat="1" x14ac:dyDescent="0.35">
      <c r="A1816" s="2"/>
      <c r="B1816" s="3"/>
      <c r="C1816" s="3"/>
      <c r="D1816" s="3"/>
      <c r="E1816"/>
      <c r="F1816"/>
      <c r="G1816"/>
      <c r="H1816" s="34"/>
      <c r="I1816"/>
      <c r="J1816"/>
      <c r="K1816"/>
      <c r="L1816"/>
      <c r="M1816"/>
      <c r="N1816"/>
      <c r="O1816"/>
      <c r="P1816"/>
      <c r="Q1816"/>
      <c r="R1816" s="8"/>
      <c r="S1816" s="1"/>
      <c r="T1816"/>
      <c r="U1816"/>
      <c r="V1816"/>
    </row>
    <row r="1817" spans="1:22" s="53" customFormat="1" x14ac:dyDescent="0.35">
      <c r="A1817" s="2"/>
      <c r="B1817" s="3"/>
      <c r="C1817" s="3"/>
      <c r="D1817" s="3"/>
      <c r="E1817"/>
      <c r="F1817"/>
      <c r="G1817"/>
      <c r="H1817" s="34"/>
      <c r="I1817"/>
      <c r="J1817"/>
      <c r="K1817"/>
      <c r="L1817"/>
      <c r="M1817"/>
      <c r="N1817"/>
      <c r="O1817"/>
      <c r="P1817"/>
      <c r="Q1817"/>
      <c r="R1817" s="8"/>
      <c r="S1817" s="1"/>
      <c r="T1817"/>
      <c r="U1817"/>
      <c r="V1817"/>
    </row>
    <row r="1818" spans="1:22" s="53" customFormat="1" x14ac:dyDescent="0.35">
      <c r="A1818" s="2"/>
      <c r="B1818" s="3"/>
      <c r="C1818" s="3"/>
      <c r="D1818" s="3"/>
      <c r="E1818"/>
      <c r="F1818"/>
      <c r="G1818"/>
      <c r="H1818" s="34"/>
      <c r="I1818"/>
      <c r="J1818"/>
      <c r="K1818"/>
      <c r="L1818"/>
      <c r="M1818"/>
      <c r="N1818"/>
      <c r="O1818"/>
      <c r="P1818"/>
      <c r="Q1818"/>
      <c r="R1818" s="8"/>
      <c r="S1818" s="1"/>
      <c r="T1818"/>
      <c r="U1818"/>
      <c r="V1818"/>
    </row>
    <row r="1819" spans="1:22" s="53" customFormat="1" x14ac:dyDescent="0.35">
      <c r="A1819" s="2"/>
      <c r="B1819" s="3"/>
      <c r="C1819" s="3"/>
      <c r="D1819" s="3"/>
      <c r="E1819"/>
      <c r="F1819"/>
      <c r="G1819"/>
      <c r="H1819" s="34"/>
      <c r="I1819"/>
      <c r="J1819"/>
      <c r="K1819"/>
      <c r="L1819"/>
      <c r="M1819"/>
      <c r="N1819"/>
      <c r="O1819"/>
      <c r="P1819"/>
      <c r="Q1819"/>
      <c r="R1819" s="8"/>
      <c r="S1819" s="1"/>
      <c r="T1819"/>
      <c r="U1819"/>
      <c r="V1819"/>
    </row>
    <row r="1820" spans="1:22" s="53" customFormat="1" x14ac:dyDescent="0.35">
      <c r="A1820" s="2"/>
      <c r="B1820" s="3"/>
      <c r="C1820" s="3"/>
      <c r="D1820" s="3"/>
      <c r="E1820"/>
      <c r="F1820"/>
      <c r="G1820"/>
      <c r="H1820" s="34"/>
      <c r="I1820"/>
      <c r="J1820"/>
      <c r="K1820"/>
      <c r="L1820"/>
      <c r="M1820"/>
      <c r="N1820"/>
      <c r="O1820"/>
      <c r="P1820"/>
      <c r="Q1820"/>
      <c r="R1820" s="8"/>
      <c r="S1820" s="1"/>
      <c r="T1820"/>
      <c r="U1820"/>
      <c r="V1820"/>
    </row>
    <row r="1821" spans="1:22" s="53" customFormat="1" x14ac:dyDescent="0.35">
      <c r="A1821" s="2"/>
      <c r="B1821" s="3"/>
      <c r="C1821" s="3"/>
      <c r="D1821" s="3"/>
      <c r="E1821"/>
      <c r="F1821"/>
      <c r="G1821"/>
      <c r="H1821" s="34"/>
      <c r="I1821"/>
      <c r="J1821"/>
      <c r="K1821"/>
      <c r="L1821"/>
      <c r="M1821"/>
      <c r="N1821"/>
      <c r="O1821"/>
      <c r="P1821"/>
      <c r="Q1821"/>
      <c r="R1821" s="8"/>
      <c r="S1821" s="1"/>
      <c r="T1821"/>
      <c r="U1821"/>
      <c r="V1821"/>
    </row>
    <row r="1822" spans="1:22" s="53" customFormat="1" x14ac:dyDescent="0.35">
      <c r="A1822" s="2"/>
      <c r="B1822" s="3"/>
      <c r="C1822" s="3"/>
      <c r="D1822" s="3"/>
      <c r="E1822"/>
      <c r="F1822"/>
      <c r="G1822"/>
      <c r="H1822" s="34"/>
      <c r="I1822"/>
      <c r="J1822"/>
      <c r="K1822"/>
      <c r="L1822"/>
      <c r="M1822"/>
      <c r="N1822"/>
      <c r="O1822"/>
      <c r="P1822"/>
      <c r="Q1822"/>
      <c r="R1822" s="8"/>
      <c r="S1822" s="1"/>
      <c r="T1822"/>
      <c r="U1822"/>
      <c r="V1822"/>
    </row>
    <row r="1823" spans="1:22" s="53" customFormat="1" x14ac:dyDescent="0.35">
      <c r="A1823" s="2"/>
      <c r="B1823" s="3"/>
      <c r="C1823" s="3"/>
      <c r="D1823" s="3"/>
      <c r="E1823"/>
      <c r="F1823"/>
      <c r="G1823"/>
      <c r="H1823" s="34"/>
      <c r="I1823"/>
      <c r="J1823"/>
      <c r="K1823"/>
      <c r="L1823"/>
      <c r="M1823"/>
      <c r="N1823"/>
      <c r="O1823"/>
      <c r="P1823"/>
      <c r="Q1823"/>
      <c r="R1823" s="8"/>
      <c r="S1823" s="1"/>
      <c r="T1823"/>
      <c r="U1823"/>
      <c r="V1823"/>
    </row>
    <row r="1824" spans="1:22" s="53" customFormat="1" x14ac:dyDescent="0.35">
      <c r="A1824" s="2"/>
      <c r="B1824" s="3"/>
      <c r="C1824" s="3"/>
      <c r="D1824" s="3"/>
      <c r="E1824"/>
      <c r="F1824"/>
      <c r="G1824"/>
      <c r="H1824" s="34"/>
      <c r="I1824"/>
      <c r="J1824"/>
      <c r="K1824"/>
      <c r="L1824"/>
      <c r="M1824"/>
      <c r="N1824"/>
      <c r="O1824"/>
      <c r="P1824"/>
      <c r="Q1824"/>
      <c r="R1824" s="8"/>
      <c r="S1824" s="1"/>
      <c r="T1824"/>
      <c r="U1824"/>
      <c r="V1824"/>
    </row>
    <row r="1825" spans="1:22" s="53" customFormat="1" x14ac:dyDescent="0.35">
      <c r="A1825" s="2"/>
      <c r="B1825" s="3"/>
      <c r="C1825" s="3"/>
      <c r="D1825" s="3"/>
      <c r="E1825"/>
      <c r="F1825"/>
      <c r="G1825"/>
      <c r="H1825" s="34"/>
      <c r="I1825"/>
      <c r="J1825"/>
      <c r="K1825"/>
      <c r="L1825"/>
      <c r="M1825"/>
      <c r="N1825"/>
      <c r="O1825"/>
      <c r="P1825"/>
      <c r="Q1825"/>
      <c r="R1825" s="8"/>
      <c r="S1825" s="1"/>
      <c r="T1825"/>
      <c r="U1825"/>
      <c r="V1825"/>
    </row>
    <row r="1826" spans="1:22" s="53" customFormat="1" x14ac:dyDescent="0.35">
      <c r="A1826" s="2"/>
      <c r="B1826" s="3"/>
      <c r="C1826" s="3"/>
      <c r="D1826" s="3"/>
      <c r="E1826"/>
      <c r="F1826"/>
      <c r="G1826"/>
      <c r="H1826" s="34"/>
      <c r="I1826"/>
      <c r="J1826"/>
      <c r="K1826"/>
      <c r="L1826"/>
      <c r="M1826"/>
      <c r="N1826"/>
      <c r="O1826"/>
      <c r="P1826"/>
      <c r="Q1826"/>
      <c r="R1826" s="8"/>
      <c r="S1826" s="1"/>
      <c r="T1826"/>
      <c r="U1826"/>
      <c r="V1826"/>
    </row>
    <row r="1827" spans="1:22" s="53" customFormat="1" x14ac:dyDescent="0.35">
      <c r="A1827" s="2"/>
      <c r="B1827" s="3"/>
      <c r="C1827" s="3"/>
      <c r="D1827" s="3"/>
      <c r="E1827"/>
      <c r="F1827"/>
      <c r="G1827"/>
      <c r="H1827" s="34"/>
      <c r="I1827"/>
      <c r="J1827"/>
      <c r="K1827"/>
      <c r="L1827"/>
      <c r="M1827"/>
      <c r="N1827"/>
      <c r="O1827"/>
      <c r="P1827"/>
      <c r="Q1827"/>
      <c r="R1827" s="8"/>
      <c r="S1827" s="1"/>
      <c r="T1827"/>
      <c r="U1827"/>
      <c r="V1827"/>
    </row>
    <row r="1828" spans="1:22" s="53" customFormat="1" x14ac:dyDescent="0.35">
      <c r="A1828" s="2"/>
      <c r="B1828" s="3"/>
      <c r="C1828" s="3"/>
      <c r="D1828" s="3"/>
      <c r="E1828"/>
      <c r="F1828"/>
      <c r="G1828"/>
      <c r="H1828" s="34"/>
      <c r="I1828"/>
      <c r="J1828"/>
      <c r="K1828"/>
      <c r="L1828"/>
      <c r="M1828"/>
      <c r="N1828"/>
      <c r="O1828"/>
      <c r="P1828"/>
      <c r="Q1828"/>
      <c r="R1828" s="8"/>
      <c r="S1828" s="1"/>
      <c r="T1828"/>
      <c r="U1828"/>
      <c r="V1828"/>
    </row>
    <row r="1829" spans="1:22" s="53" customFormat="1" x14ac:dyDescent="0.35">
      <c r="A1829" s="2"/>
      <c r="B1829" s="3"/>
      <c r="C1829" s="3"/>
      <c r="D1829" s="3"/>
      <c r="E1829"/>
      <c r="F1829"/>
      <c r="G1829"/>
      <c r="H1829" s="34"/>
      <c r="I1829"/>
      <c r="J1829"/>
      <c r="K1829"/>
      <c r="L1829"/>
      <c r="M1829"/>
      <c r="N1829"/>
      <c r="O1829"/>
      <c r="P1829"/>
      <c r="Q1829"/>
      <c r="R1829" s="8"/>
      <c r="S1829" s="1"/>
      <c r="T1829"/>
      <c r="U1829"/>
      <c r="V1829"/>
    </row>
    <row r="1830" spans="1:22" s="53" customFormat="1" x14ac:dyDescent="0.35">
      <c r="A1830" s="2"/>
      <c r="B1830" s="3"/>
      <c r="C1830" s="3"/>
      <c r="D1830" s="3"/>
      <c r="E1830"/>
      <c r="F1830"/>
      <c r="G1830"/>
      <c r="H1830" s="34"/>
      <c r="I1830"/>
      <c r="J1830"/>
      <c r="K1830"/>
      <c r="L1830"/>
      <c r="M1830"/>
      <c r="N1830"/>
      <c r="O1830"/>
      <c r="P1830"/>
      <c r="Q1830"/>
      <c r="R1830" s="8"/>
      <c r="S1830" s="1"/>
      <c r="T1830"/>
      <c r="U1830"/>
      <c r="V1830"/>
    </row>
    <row r="1831" spans="1:22" s="53" customFormat="1" x14ac:dyDescent="0.35">
      <c r="A1831" s="2"/>
      <c r="B1831" s="3"/>
      <c r="C1831" s="3"/>
      <c r="D1831" s="3"/>
      <c r="E1831"/>
      <c r="F1831"/>
      <c r="G1831"/>
      <c r="H1831" s="34"/>
      <c r="I1831"/>
      <c r="J1831"/>
      <c r="K1831"/>
      <c r="L1831"/>
      <c r="M1831"/>
      <c r="N1831"/>
      <c r="O1831"/>
      <c r="P1831"/>
      <c r="Q1831"/>
      <c r="R1831" s="8"/>
      <c r="S1831" s="1"/>
      <c r="T1831"/>
      <c r="U1831"/>
      <c r="V1831"/>
    </row>
    <row r="1832" spans="1:22" s="53" customFormat="1" x14ac:dyDescent="0.35">
      <c r="A1832" s="2"/>
      <c r="B1832" s="3"/>
      <c r="C1832" s="3"/>
      <c r="D1832" s="3"/>
      <c r="E1832"/>
      <c r="F1832"/>
      <c r="G1832"/>
      <c r="H1832" s="34"/>
      <c r="I1832"/>
      <c r="J1832"/>
      <c r="K1832"/>
      <c r="L1832"/>
      <c r="M1832"/>
      <c r="N1832"/>
      <c r="O1832"/>
      <c r="P1832"/>
      <c r="Q1832"/>
      <c r="R1832" s="8"/>
      <c r="S1832" s="1"/>
      <c r="T1832"/>
      <c r="U1832"/>
      <c r="V1832"/>
    </row>
    <row r="1833" spans="1:22" s="53" customFormat="1" x14ac:dyDescent="0.35">
      <c r="A1833" s="2"/>
      <c r="B1833" s="3"/>
      <c r="C1833" s="3"/>
      <c r="D1833" s="3"/>
      <c r="E1833"/>
      <c r="F1833"/>
      <c r="G1833"/>
      <c r="H1833" s="34"/>
      <c r="I1833"/>
      <c r="J1833"/>
      <c r="K1833"/>
      <c r="L1833"/>
      <c r="M1833"/>
      <c r="N1833"/>
      <c r="O1833"/>
      <c r="P1833"/>
      <c r="Q1833"/>
      <c r="R1833" s="8"/>
      <c r="S1833" s="1"/>
      <c r="T1833"/>
      <c r="U1833"/>
      <c r="V1833"/>
    </row>
    <row r="1834" spans="1:22" s="53" customFormat="1" x14ac:dyDescent="0.35">
      <c r="A1834" s="2"/>
      <c r="B1834" s="3"/>
      <c r="C1834" s="3"/>
      <c r="D1834" s="3"/>
      <c r="E1834"/>
      <c r="F1834"/>
      <c r="G1834"/>
      <c r="H1834" s="34"/>
      <c r="I1834"/>
      <c r="J1834"/>
      <c r="K1834"/>
      <c r="L1834"/>
      <c r="M1834"/>
      <c r="N1834"/>
      <c r="O1834"/>
      <c r="P1834"/>
      <c r="Q1834"/>
      <c r="R1834" s="8"/>
      <c r="S1834" s="1"/>
      <c r="T1834"/>
      <c r="U1834"/>
      <c r="V1834"/>
    </row>
    <row r="1835" spans="1:22" s="53" customFormat="1" x14ac:dyDescent="0.35">
      <c r="A1835" s="2"/>
      <c r="B1835" s="3"/>
      <c r="C1835" s="3"/>
      <c r="D1835" s="3"/>
      <c r="E1835"/>
      <c r="F1835"/>
      <c r="G1835"/>
      <c r="H1835" s="34"/>
      <c r="I1835"/>
      <c r="J1835"/>
      <c r="K1835"/>
      <c r="L1835"/>
      <c r="M1835"/>
      <c r="N1835"/>
      <c r="O1835"/>
      <c r="P1835"/>
      <c r="Q1835"/>
      <c r="R1835" s="8"/>
      <c r="S1835" s="1"/>
      <c r="T1835"/>
      <c r="U1835"/>
      <c r="V1835"/>
    </row>
    <row r="1836" spans="1:22" s="53" customFormat="1" x14ac:dyDescent="0.35">
      <c r="A1836" s="2"/>
      <c r="B1836" s="3"/>
      <c r="C1836" s="3"/>
      <c r="D1836" s="3"/>
      <c r="E1836"/>
      <c r="F1836"/>
      <c r="G1836"/>
      <c r="H1836" s="34"/>
      <c r="I1836"/>
      <c r="J1836"/>
      <c r="K1836"/>
      <c r="L1836"/>
      <c r="M1836"/>
      <c r="N1836"/>
      <c r="O1836"/>
      <c r="P1836"/>
      <c r="Q1836"/>
      <c r="R1836" s="8"/>
      <c r="S1836" s="1"/>
      <c r="T1836"/>
      <c r="U1836"/>
      <c r="V1836"/>
    </row>
    <row r="1837" spans="1:22" s="53" customFormat="1" x14ac:dyDescent="0.35">
      <c r="A1837" s="2"/>
      <c r="B1837" s="3"/>
      <c r="C1837" s="3"/>
      <c r="D1837" s="3"/>
      <c r="E1837"/>
      <c r="F1837"/>
      <c r="G1837"/>
      <c r="H1837" s="34"/>
      <c r="I1837"/>
      <c r="J1837"/>
      <c r="K1837"/>
      <c r="L1837"/>
      <c r="M1837"/>
      <c r="N1837"/>
      <c r="O1837"/>
      <c r="P1837"/>
      <c r="Q1837"/>
      <c r="R1837" s="8"/>
      <c r="S1837" s="1"/>
      <c r="T1837"/>
      <c r="U1837"/>
      <c r="V1837"/>
    </row>
    <row r="1838" spans="1:22" s="53" customFormat="1" x14ac:dyDescent="0.35">
      <c r="A1838" s="2"/>
      <c r="B1838" s="3"/>
      <c r="C1838" s="3"/>
      <c r="D1838" s="3"/>
      <c r="E1838"/>
      <c r="F1838"/>
      <c r="G1838"/>
      <c r="H1838" s="34"/>
      <c r="I1838"/>
      <c r="J1838"/>
      <c r="K1838"/>
      <c r="L1838"/>
      <c r="M1838"/>
      <c r="N1838"/>
      <c r="O1838"/>
      <c r="P1838"/>
      <c r="Q1838"/>
      <c r="R1838" s="8"/>
      <c r="S1838" s="1"/>
      <c r="T1838"/>
      <c r="U1838"/>
      <c r="V1838"/>
    </row>
    <row r="1839" spans="1:22" s="53" customFormat="1" x14ac:dyDescent="0.35">
      <c r="A1839" s="2"/>
      <c r="B1839" s="3"/>
      <c r="C1839" s="3"/>
      <c r="D1839" s="3"/>
      <c r="E1839"/>
      <c r="F1839"/>
      <c r="G1839"/>
      <c r="H1839" s="34"/>
      <c r="I1839"/>
      <c r="J1839"/>
      <c r="K1839"/>
      <c r="L1839"/>
      <c r="M1839"/>
      <c r="N1839"/>
      <c r="O1839"/>
      <c r="P1839"/>
      <c r="Q1839"/>
      <c r="R1839" s="8"/>
      <c r="S1839" s="1"/>
      <c r="T1839"/>
      <c r="U1839"/>
      <c r="V1839"/>
    </row>
    <row r="1840" spans="1:22" s="53" customFormat="1" x14ac:dyDescent="0.35">
      <c r="A1840" s="2"/>
      <c r="B1840" s="3"/>
      <c r="C1840" s="3"/>
      <c r="D1840" s="3"/>
      <c r="E1840"/>
      <c r="F1840"/>
      <c r="G1840"/>
      <c r="H1840" s="34"/>
      <c r="I1840"/>
      <c r="J1840"/>
      <c r="K1840"/>
      <c r="L1840"/>
      <c r="M1840"/>
      <c r="N1840"/>
      <c r="O1840"/>
      <c r="P1840"/>
      <c r="Q1840"/>
      <c r="R1840" s="8"/>
      <c r="S1840" s="1"/>
      <c r="T1840"/>
      <c r="U1840"/>
      <c r="V1840"/>
    </row>
    <row r="1841" spans="1:22" s="53" customFormat="1" x14ac:dyDescent="0.35">
      <c r="A1841" s="2"/>
      <c r="B1841" s="3"/>
      <c r="C1841" s="3"/>
      <c r="D1841" s="3"/>
      <c r="E1841"/>
      <c r="F1841"/>
      <c r="G1841"/>
      <c r="H1841" s="34"/>
      <c r="I1841"/>
      <c r="J1841"/>
      <c r="K1841"/>
      <c r="L1841"/>
      <c r="M1841"/>
      <c r="N1841"/>
      <c r="O1841"/>
      <c r="P1841"/>
      <c r="Q1841"/>
      <c r="R1841" s="8"/>
      <c r="S1841" s="1"/>
      <c r="T1841"/>
      <c r="U1841"/>
      <c r="V1841"/>
    </row>
    <row r="1842" spans="1:22" s="53" customFormat="1" x14ac:dyDescent="0.35">
      <c r="A1842" s="2"/>
      <c r="B1842" s="3"/>
      <c r="C1842" s="3"/>
      <c r="D1842" s="3"/>
      <c r="E1842"/>
      <c r="F1842"/>
      <c r="G1842"/>
      <c r="H1842" s="34"/>
      <c r="I1842"/>
      <c r="J1842"/>
      <c r="K1842"/>
      <c r="L1842"/>
      <c r="M1842"/>
      <c r="N1842"/>
      <c r="O1842"/>
      <c r="P1842"/>
      <c r="Q1842"/>
      <c r="R1842" s="8"/>
      <c r="S1842" s="1"/>
      <c r="T1842"/>
      <c r="U1842"/>
      <c r="V1842"/>
    </row>
    <row r="1843" spans="1:22" s="53" customFormat="1" x14ac:dyDescent="0.35">
      <c r="A1843" s="2"/>
      <c r="B1843" s="3"/>
      <c r="C1843" s="3"/>
      <c r="D1843" s="3"/>
      <c r="E1843"/>
      <c r="F1843"/>
      <c r="G1843"/>
      <c r="H1843" s="34"/>
      <c r="I1843"/>
      <c r="J1843"/>
      <c r="K1843"/>
      <c r="L1843"/>
      <c r="M1843"/>
      <c r="N1843"/>
      <c r="O1843"/>
      <c r="P1843"/>
      <c r="Q1843"/>
      <c r="R1843" s="8"/>
      <c r="S1843" s="1"/>
      <c r="T1843"/>
      <c r="U1843"/>
      <c r="V1843"/>
    </row>
    <row r="1844" spans="1:22" s="53" customFormat="1" x14ac:dyDescent="0.35">
      <c r="A1844" s="2"/>
      <c r="B1844" s="3"/>
      <c r="C1844" s="3"/>
      <c r="D1844" s="3"/>
      <c r="E1844"/>
      <c r="F1844"/>
      <c r="G1844"/>
      <c r="H1844" s="34"/>
      <c r="I1844"/>
      <c r="J1844"/>
      <c r="K1844"/>
      <c r="L1844"/>
      <c r="M1844"/>
      <c r="N1844"/>
      <c r="O1844"/>
      <c r="P1844"/>
      <c r="Q1844"/>
      <c r="R1844" s="8"/>
      <c r="S1844" s="1"/>
      <c r="T1844"/>
      <c r="U1844"/>
      <c r="V1844"/>
    </row>
    <row r="1845" spans="1:22" s="53" customFormat="1" x14ac:dyDescent="0.35">
      <c r="A1845" s="2"/>
      <c r="B1845" s="3"/>
      <c r="C1845" s="3"/>
      <c r="D1845" s="3"/>
      <c r="E1845"/>
      <c r="F1845"/>
      <c r="G1845"/>
      <c r="H1845" s="34"/>
      <c r="I1845"/>
      <c r="J1845"/>
      <c r="K1845"/>
      <c r="L1845"/>
      <c r="M1845"/>
      <c r="N1845"/>
      <c r="O1845"/>
      <c r="P1845"/>
      <c r="Q1845"/>
      <c r="R1845" s="8"/>
      <c r="S1845" s="1"/>
      <c r="T1845"/>
      <c r="U1845"/>
      <c r="V1845"/>
    </row>
    <row r="1846" spans="1:22" s="53" customFormat="1" x14ac:dyDescent="0.35">
      <c r="A1846" s="2"/>
      <c r="B1846" s="3"/>
      <c r="C1846" s="3"/>
      <c r="D1846" s="3"/>
      <c r="E1846"/>
      <c r="F1846"/>
      <c r="G1846"/>
      <c r="H1846" s="34"/>
      <c r="I1846"/>
      <c r="J1846"/>
      <c r="K1846"/>
      <c r="L1846"/>
      <c r="M1846"/>
      <c r="N1846"/>
      <c r="O1846"/>
      <c r="P1846"/>
      <c r="Q1846"/>
      <c r="R1846" s="8"/>
      <c r="S1846" s="1"/>
      <c r="T1846"/>
      <c r="U1846"/>
      <c r="V1846"/>
    </row>
    <row r="1847" spans="1:22" s="53" customFormat="1" x14ac:dyDescent="0.35">
      <c r="A1847" s="2"/>
      <c r="B1847" s="3"/>
      <c r="C1847" s="3"/>
      <c r="D1847" s="3"/>
      <c r="E1847"/>
      <c r="F1847"/>
      <c r="G1847"/>
      <c r="H1847" s="34"/>
      <c r="I1847"/>
      <c r="J1847"/>
      <c r="K1847"/>
      <c r="L1847"/>
      <c r="M1847"/>
      <c r="N1847"/>
      <c r="O1847"/>
      <c r="P1847"/>
      <c r="Q1847"/>
      <c r="R1847" s="8"/>
      <c r="S1847" s="1"/>
      <c r="T1847"/>
      <c r="U1847"/>
      <c r="V1847"/>
    </row>
    <row r="1848" spans="1:22" s="53" customFormat="1" x14ac:dyDescent="0.35">
      <c r="A1848" s="2"/>
      <c r="B1848" s="3"/>
      <c r="C1848" s="3"/>
      <c r="D1848" s="3"/>
      <c r="E1848"/>
      <c r="F1848"/>
      <c r="G1848"/>
      <c r="H1848" s="34"/>
      <c r="I1848"/>
      <c r="J1848"/>
      <c r="K1848"/>
      <c r="L1848"/>
      <c r="M1848"/>
      <c r="N1848"/>
      <c r="O1848"/>
      <c r="P1848"/>
      <c r="Q1848"/>
      <c r="R1848" s="8"/>
      <c r="S1848" s="1"/>
      <c r="T1848"/>
      <c r="U1848"/>
      <c r="V1848"/>
    </row>
    <row r="1849" spans="1:22" s="53" customFormat="1" x14ac:dyDescent="0.35">
      <c r="A1849" s="2"/>
      <c r="B1849" s="3"/>
      <c r="C1849" s="3"/>
      <c r="D1849" s="3"/>
      <c r="E1849"/>
      <c r="F1849"/>
      <c r="G1849"/>
      <c r="H1849" s="34"/>
      <c r="I1849"/>
      <c r="J1849"/>
      <c r="K1849"/>
      <c r="L1849"/>
      <c r="M1849"/>
      <c r="N1849"/>
      <c r="O1849"/>
      <c r="P1849"/>
      <c r="Q1849"/>
      <c r="R1849" s="8"/>
      <c r="S1849" s="1"/>
      <c r="T1849"/>
      <c r="U1849"/>
      <c r="V1849"/>
    </row>
    <row r="1850" spans="1:22" s="53" customFormat="1" x14ac:dyDescent="0.35">
      <c r="A1850" s="2"/>
      <c r="B1850" s="3"/>
      <c r="C1850" s="3"/>
      <c r="D1850" s="3"/>
      <c r="E1850"/>
      <c r="F1850"/>
      <c r="G1850"/>
      <c r="H1850" s="34"/>
      <c r="I1850"/>
      <c r="J1850"/>
      <c r="K1850"/>
      <c r="L1850"/>
      <c r="M1850"/>
      <c r="N1850"/>
      <c r="O1850"/>
      <c r="P1850"/>
      <c r="Q1850"/>
      <c r="R1850" s="8"/>
      <c r="S1850" s="1"/>
      <c r="T1850"/>
      <c r="U1850"/>
      <c r="V1850"/>
    </row>
    <row r="1851" spans="1:22" s="53" customFormat="1" x14ac:dyDescent="0.35">
      <c r="A1851" s="2"/>
      <c r="B1851" s="3"/>
      <c r="C1851" s="3"/>
      <c r="D1851" s="3"/>
      <c r="E1851"/>
      <c r="F1851"/>
      <c r="G1851"/>
      <c r="H1851" s="34"/>
      <c r="I1851"/>
      <c r="J1851"/>
      <c r="K1851"/>
      <c r="L1851"/>
      <c r="M1851"/>
      <c r="N1851"/>
      <c r="O1851"/>
      <c r="P1851"/>
      <c r="Q1851"/>
      <c r="R1851" s="8"/>
      <c r="S1851" s="1"/>
      <c r="T1851"/>
      <c r="U1851"/>
      <c r="V1851"/>
    </row>
    <row r="1852" spans="1:22" s="53" customFormat="1" x14ac:dyDescent="0.35">
      <c r="A1852" s="2"/>
      <c r="B1852" s="3"/>
      <c r="C1852" s="3"/>
      <c r="D1852" s="3"/>
      <c r="E1852"/>
      <c r="F1852"/>
      <c r="G1852"/>
      <c r="H1852" s="34"/>
      <c r="I1852"/>
      <c r="J1852"/>
      <c r="K1852"/>
      <c r="L1852"/>
      <c r="M1852"/>
      <c r="N1852"/>
      <c r="O1852"/>
      <c r="P1852"/>
      <c r="Q1852"/>
      <c r="R1852" s="8"/>
      <c r="S1852" s="1"/>
      <c r="T1852"/>
      <c r="U1852"/>
      <c r="V1852"/>
    </row>
    <row r="1853" spans="1:22" s="53" customFormat="1" x14ac:dyDescent="0.35">
      <c r="A1853" s="2"/>
      <c r="B1853" s="3"/>
      <c r="C1853" s="3"/>
      <c r="D1853" s="3"/>
      <c r="E1853"/>
      <c r="F1853"/>
      <c r="G1853"/>
      <c r="H1853" s="34"/>
      <c r="I1853"/>
      <c r="J1853"/>
      <c r="K1853"/>
      <c r="L1853"/>
      <c r="M1853"/>
      <c r="N1853"/>
      <c r="O1853"/>
      <c r="P1853"/>
      <c r="Q1853"/>
      <c r="R1853" s="8"/>
      <c r="S1853" s="1"/>
      <c r="T1853"/>
      <c r="U1853"/>
      <c r="V1853"/>
    </row>
    <row r="1854" spans="1:22" s="53" customFormat="1" x14ac:dyDescent="0.35">
      <c r="A1854" s="2"/>
      <c r="B1854" s="3"/>
      <c r="C1854" s="3"/>
      <c r="D1854" s="3"/>
      <c r="E1854"/>
      <c r="F1854"/>
      <c r="G1854"/>
      <c r="H1854" s="34"/>
      <c r="I1854"/>
      <c r="J1854"/>
      <c r="K1854"/>
      <c r="L1854"/>
      <c r="M1854"/>
      <c r="N1854"/>
      <c r="O1854"/>
      <c r="P1854"/>
      <c r="Q1854"/>
      <c r="R1854" s="8"/>
      <c r="S1854" s="1"/>
      <c r="T1854"/>
      <c r="U1854"/>
      <c r="V1854"/>
    </row>
    <row r="1855" spans="1:22" s="53" customFormat="1" x14ac:dyDescent="0.35">
      <c r="A1855" s="2"/>
      <c r="B1855" s="3"/>
      <c r="C1855" s="3"/>
      <c r="D1855" s="3"/>
      <c r="E1855"/>
      <c r="F1855"/>
      <c r="G1855"/>
      <c r="H1855" s="34"/>
      <c r="I1855"/>
      <c r="J1855"/>
      <c r="K1855"/>
      <c r="L1855"/>
      <c r="M1855"/>
      <c r="N1855"/>
      <c r="O1855"/>
      <c r="P1855"/>
      <c r="Q1855"/>
      <c r="R1855" s="8"/>
      <c r="S1855" s="1"/>
      <c r="T1855"/>
      <c r="U1855"/>
      <c r="V1855"/>
    </row>
    <row r="1856" spans="1:22" s="53" customFormat="1" x14ac:dyDescent="0.35">
      <c r="A1856" s="2"/>
      <c r="B1856" s="3"/>
      <c r="C1856" s="3"/>
      <c r="D1856" s="3"/>
      <c r="E1856"/>
      <c r="F1856"/>
      <c r="G1856"/>
      <c r="H1856" s="34"/>
      <c r="I1856"/>
      <c r="J1856"/>
      <c r="K1856"/>
      <c r="L1856"/>
      <c r="M1856"/>
      <c r="N1856"/>
      <c r="O1856"/>
      <c r="P1856"/>
      <c r="Q1856"/>
      <c r="R1856" s="8"/>
      <c r="S1856" s="1"/>
      <c r="T1856"/>
      <c r="U1856"/>
      <c r="V1856"/>
    </row>
    <row r="1857" spans="1:22" s="53" customFormat="1" x14ac:dyDescent="0.35">
      <c r="A1857" s="2"/>
      <c r="B1857" s="3"/>
      <c r="C1857" s="3"/>
      <c r="D1857" s="3"/>
      <c r="E1857"/>
      <c r="F1857"/>
      <c r="G1857"/>
      <c r="H1857" s="34"/>
      <c r="I1857"/>
      <c r="J1857"/>
      <c r="K1857"/>
      <c r="L1857"/>
      <c r="M1857"/>
      <c r="N1857"/>
      <c r="O1857"/>
      <c r="P1857"/>
      <c r="Q1857"/>
      <c r="R1857" s="8"/>
      <c r="S1857" s="1"/>
      <c r="T1857"/>
      <c r="U1857"/>
      <c r="V1857"/>
    </row>
    <row r="1858" spans="1:22" s="53" customFormat="1" x14ac:dyDescent="0.35">
      <c r="A1858" s="2"/>
      <c r="B1858" s="3"/>
      <c r="C1858" s="3"/>
      <c r="D1858" s="3"/>
      <c r="E1858"/>
      <c r="F1858"/>
      <c r="G1858"/>
      <c r="H1858" s="34"/>
      <c r="I1858"/>
      <c r="J1858"/>
      <c r="K1858"/>
      <c r="L1858"/>
      <c r="M1858"/>
      <c r="N1858"/>
      <c r="O1858"/>
      <c r="P1858"/>
      <c r="Q1858"/>
      <c r="R1858" s="8"/>
      <c r="S1858" s="1"/>
      <c r="T1858"/>
      <c r="U1858"/>
      <c r="V1858"/>
    </row>
    <row r="1859" spans="1:22" s="53" customFormat="1" x14ac:dyDescent="0.35">
      <c r="A1859" s="2"/>
      <c r="B1859" s="3"/>
      <c r="C1859" s="3"/>
      <c r="D1859" s="3"/>
      <c r="E1859"/>
      <c r="F1859"/>
      <c r="G1859"/>
      <c r="H1859" s="34"/>
      <c r="I1859"/>
      <c r="J1859"/>
      <c r="K1859"/>
      <c r="L1859"/>
      <c r="M1859"/>
      <c r="N1859"/>
      <c r="O1859"/>
      <c r="P1859"/>
      <c r="Q1859"/>
      <c r="R1859" s="8"/>
      <c r="S1859" s="1"/>
      <c r="T1859"/>
      <c r="U1859"/>
      <c r="V1859"/>
    </row>
    <row r="1860" spans="1:22" s="53" customFormat="1" x14ac:dyDescent="0.35">
      <c r="A1860" s="2"/>
      <c r="B1860" s="3"/>
      <c r="C1860" s="3"/>
      <c r="D1860" s="3"/>
      <c r="E1860"/>
      <c r="F1860"/>
      <c r="G1860"/>
      <c r="H1860" s="34"/>
      <c r="I1860"/>
      <c r="J1860"/>
      <c r="K1860"/>
      <c r="L1860"/>
      <c r="M1860"/>
      <c r="N1860"/>
      <c r="O1860"/>
      <c r="P1860"/>
      <c r="Q1860"/>
      <c r="R1860" s="8"/>
      <c r="S1860" s="1"/>
      <c r="T1860"/>
      <c r="U1860"/>
      <c r="V1860"/>
    </row>
    <row r="1861" spans="1:22" s="53" customFormat="1" x14ac:dyDescent="0.35">
      <c r="A1861" s="2"/>
      <c r="B1861" s="3"/>
      <c r="C1861" s="3"/>
      <c r="D1861" s="3"/>
      <c r="E1861"/>
      <c r="F1861"/>
      <c r="G1861"/>
      <c r="H1861" s="34"/>
      <c r="I1861"/>
      <c r="J1861"/>
      <c r="K1861"/>
      <c r="L1861"/>
      <c r="M1861"/>
      <c r="N1861"/>
      <c r="O1861"/>
      <c r="P1861"/>
      <c r="Q1861"/>
      <c r="R1861" s="8"/>
      <c r="S1861" s="1"/>
      <c r="T1861"/>
      <c r="U1861"/>
      <c r="V1861"/>
    </row>
    <row r="1862" spans="1:22" s="53" customFormat="1" x14ac:dyDescent="0.35">
      <c r="A1862" s="2"/>
      <c r="B1862" s="3"/>
      <c r="C1862" s="3"/>
      <c r="D1862" s="3"/>
      <c r="E1862"/>
      <c r="F1862"/>
      <c r="G1862"/>
      <c r="H1862" s="34"/>
      <c r="I1862"/>
      <c r="J1862"/>
      <c r="K1862"/>
      <c r="L1862"/>
      <c r="M1862"/>
      <c r="N1862"/>
      <c r="O1862"/>
      <c r="P1862"/>
      <c r="Q1862"/>
      <c r="R1862" s="8"/>
      <c r="S1862" s="1"/>
      <c r="T1862"/>
      <c r="U1862"/>
      <c r="V1862"/>
    </row>
    <row r="1863" spans="1:22" s="53" customFormat="1" x14ac:dyDescent="0.35">
      <c r="A1863" s="2"/>
      <c r="B1863" s="3"/>
      <c r="C1863" s="3"/>
      <c r="D1863" s="3"/>
      <c r="E1863"/>
      <c r="F1863"/>
      <c r="G1863"/>
      <c r="H1863" s="34"/>
      <c r="I1863"/>
      <c r="J1863"/>
      <c r="K1863"/>
      <c r="L1863"/>
      <c r="M1863"/>
      <c r="N1863"/>
      <c r="O1863"/>
      <c r="P1863"/>
      <c r="Q1863"/>
      <c r="R1863" s="8"/>
      <c r="S1863" s="1"/>
      <c r="T1863"/>
      <c r="U1863"/>
      <c r="V1863"/>
    </row>
    <row r="1864" spans="1:22" s="53" customFormat="1" x14ac:dyDescent="0.35">
      <c r="A1864" s="2"/>
      <c r="B1864" s="3"/>
      <c r="C1864" s="3"/>
      <c r="D1864" s="3"/>
      <c r="E1864"/>
      <c r="F1864"/>
      <c r="G1864"/>
      <c r="H1864" s="34"/>
      <c r="I1864"/>
      <c r="J1864"/>
      <c r="K1864"/>
      <c r="L1864"/>
      <c r="M1864"/>
      <c r="N1864"/>
      <c r="O1864"/>
      <c r="P1864"/>
      <c r="Q1864"/>
      <c r="R1864" s="8"/>
      <c r="S1864" s="1"/>
      <c r="T1864"/>
      <c r="U1864"/>
      <c r="V1864"/>
    </row>
    <row r="1865" spans="1:22" s="53" customFormat="1" x14ac:dyDescent="0.35">
      <c r="A1865" s="2"/>
      <c r="B1865" s="3"/>
      <c r="C1865" s="3"/>
      <c r="D1865" s="3"/>
      <c r="E1865"/>
      <c r="F1865"/>
      <c r="G1865"/>
      <c r="H1865" s="34"/>
      <c r="I1865"/>
      <c r="J1865"/>
      <c r="K1865"/>
      <c r="L1865"/>
      <c r="M1865"/>
      <c r="N1865"/>
      <c r="O1865"/>
      <c r="P1865"/>
      <c r="Q1865"/>
      <c r="R1865" s="8"/>
      <c r="S1865" s="1"/>
      <c r="T1865"/>
      <c r="U1865"/>
      <c r="V1865"/>
    </row>
    <row r="1866" spans="1:22" s="53" customFormat="1" x14ac:dyDescent="0.35">
      <c r="A1866" s="2"/>
      <c r="B1866" s="3"/>
      <c r="C1866" s="3"/>
      <c r="D1866" s="3"/>
      <c r="E1866"/>
      <c r="F1866"/>
      <c r="G1866"/>
      <c r="H1866" s="34"/>
      <c r="I1866"/>
      <c r="J1866"/>
      <c r="K1866"/>
      <c r="L1866"/>
      <c r="M1866"/>
      <c r="N1866"/>
      <c r="O1866"/>
      <c r="P1866"/>
      <c r="Q1866"/>
      <c r="R1866" s="8"/>
      <c r="S1866" s="1"/>
      <c r="T1866"/>
      <c r="U1866"/>
      <c r="V1866"/>
    </row>
    <row r="1867" spans="1:22" s="53" customFormat="1" x14ac:dyDescent="0.35">
      <c r="A1867" s="2"/>
      <c r="B1867" s="3"/>
      <c r="C1867" s="3"/>
      <c r="D1867" s="3"/>
      <c r="E1867"/>
      <c r="F1867"/>
      <c r="G1867"/>
      <c r="H1867" s="34"/>
      <c r="I1867"/>
      <c r="J1867"/>
      <c r="K1867"/>
      <c r="L1867"/>
      <c r="M1867"/>
      <c r="N1867"/>
      <c r="O1867"/>
      <c r="P1867"/>
      <c r="Q1867"/>
      <c r="R1867" s="8"/>
      <c r="S1867" s="1"/>
      <c r="T1867"/>
      <c r="U1867"/>
      <c r="V1867"/>
    </row>
    <row r="1868" spans="1:22" s="53" customFormat="1" x14ac:dyDescent="0.35">
      <c r="A1868" s="2"/>
      <c r="B1868" s="3"/>
      <c r="C1868" s="3"/>
      <c r="D1868" s="3"/>
      <c r="E1868"/>
      <c r="F1868"/>
      <c r="G1868"/>
      <c r="H1868" s="34"/>
      <c r="I1868"/>
      <c r="J1868"/>
      <c r="K1868"/>
      <c r="L1868"/>
      <c r="M1868"/>
      <c r="N1868"/>
      <c r="O1868"/>
      <c r="P1868"/>
      <c r="Q1868"/>
      <c r="R1868" s="8"/>
      <c r="S1868" s="1"/>
      <c r="T1868"/>
      <c r="U1868"/>
      <c r="V1868"/>
    </row>
    <row r="1869" spans="1:22" s="53" customFormat="1" x14ac:dyDescent="0.35">
      <c r="A1869" s="2"/>
      <c r="B1869" s="3"/>
      <c r="C1869" s="3"/>
      <c r="D1869" s="3"/>
      <c r="E1869"/>
      <c r="F1869"/>
      <c r="G1869"/>
      <c r="H1869" s="34"/>
      <c r="I1869"/>
      <c r="J1869"/>
      <c r="K1869"/>
      <c r="L1869"/>
      <c r="M1869"/>
      <c r="N1869"/>
      <c r="O1869"/>
      <c r="P1869"/>
      <c r="Q1869"/>
      <c r="R1869" s="8"/>
      <c r="S1869" s="1"/>
      <c r="T1869"/>
      <c r="U1869"/>
      <c r="V1869"/>
    </row>
    <row r="1870" spans="1:22" s="53" customFormat="1" x14ac:dyDescent="0.35">
      <c r="A1870" s="2"/>
      <c r="B1870" s="3"/>
      <c r="C1870" s="3"/>
      <c r="D1870" s="3"/>
      <c r="E1870"/>
      <c r="F1870"/>
      <c r="G1870"/>
      <c r="H1870" s="34"/>
      <c r="I1870"/>
      <c r="J1870"/>
      <c r="K1870"/>
      <c r="L1870"/>
      <c r="M1870"/>
      <c r="N1870"/>
      <c r="O1870"/>
      <c r="P1870"/>
      <c r="Q1870"/>
      <c r="R1870" s="8"/>
      <c r="S1870" s="1"/>
      <c r="T1870"/>
      <c r="U1870"/>
      <c r="V1870"/>
    </row>
    <row r="1871" spans="1:22" s="53" customFormat="1" x14ac:dyDescent="0.35">
      <c r="A1871" s="2"/>
      <c r="B1871" s="3"/>
      <c r="C1871" s="3"/>
      <c r="D1871" s="3"/>
      <c r="E1871"/>
      <c r="F1871"/>
      <c r="G1871"/>
      <c r="H1871" s="34"/>
      <c r="I1871"/>
      <c r="J1871"/>
      <c r="K1871"/>
      <c r="L1871"/>
      <c r="M1871"/>
      <c r="N1871"/>
      <c r="O1871"/>
      <c r="P1871"/>
      <c r="Q1871"/>
      <c r="R1871" s="8"/>
      <c r="S1871" s="1"/>
      <c r="T1871"/>
      <c r="U1871"/>
      <c r="V1871"/>
    </row>
    <row r="1872" spans="1:22" s="53" customFormat="1" x14ac:dyDescent="0.35">
      <c r="A1872" s="2"/>
      <c r="B1872" s="3"/>
      <c r="C1872" s="3"/>
      <c r="D1872" s="3"/>
      <c r="E1872"/>
      <c r="F1872"/>
      <c r="G1872"/>
      <c r="H1872" s="34"/>
      <c r="I1872"/>
      <c r="J1872"/>
      <c r="K1872"/>
      <c r="L1872"/>
      <c r="M1872"/>
      <c r="N1872"/>
      <c r="O1872"/>
      <c r="P1872"/>
      <c r="Q1872"/>
      <c r="R1872" s="8"/>
      <c r="S1872" s="1"/>
      <c r="T1872"/>
      <c r="U1872"/>
      <c r="V1872"/>
    </row>
    <row r="1873" spans="1:22" s="53" customFormat="1" x14ac:dyDescent="0.35">
      <c r="A1873" s="2"/>
      <c r="B1873" s="3"/>
      <c r="C1873" s="3"/>
      <c r="D1873" s="3"/>
      <c r="E1873"/>
      <c r="F1873"/>
      <c r="G1873"/>
      <c r="H1873" s="34"/>
      <c r="I1873"/>
      <c r="J1873"/>
      <c r="K1873"/>
      <c r="L1873"/>
      <c r="M1873"/>
      <c r="N1873"/>
      <c r="O1873"/>
      <c r="P1873"/>
      <c r="Q1873"/>
      <c r="R1873" s="8"/>
      <c r="S1873" s="1"/>
      <c r="T1873"/>
      <c r="U1873"/>
      <c r="V1873"/>
    </row>
    <row r="1874" spans="1:22" s="53" customFormat="1" x14ac:dyDescent="0.35">
      <c r="A1874" s="2"/>
      <c r="B1874" s="3"/>
      <c r="C1874" s="3"/>
      <c r="D1874" s="3"/>
      <c r="E1874"/>
      <c r="F1874"/>
      <c r="G1874"/>
      <c r="H1874" s="34"/>
      <c r="I1874"/>
      <c r="J1874"/>
      <c r="K1874"/>
      <c r="L1874"/>
      <c r="M1874"/>
      <c r="N1874"/>
      <c r="O1874"/>
      <c r="P1874"/>
      <c r="Q1874"/>
      <c r="R1874" s="8"/>
      <c r="S1874" s="1"/>
      <c r="T1874"/>
      <c r="U1874"/>
      <c r="V1874"/>
    </row>
    <row r="1875" spans="1:22" s="53" customFormat="1" x14ac:dyDescent="0.35">
      <c r="A1875" s="2"/>
      <c r="B1875" s="3"/>
      <c r="C1875" s="3"/>
      <c r="D1875" s="3"/>
      <c r="E1875"/>
      <c r="F1875"/>
      <c r="G1875"/>
      <c r="H1875" s="34"/>
      <c r="I1875"/>
      <c r="J1875"/>
      <c r="K1875"/>
      <c r="L1875"/>
      <c r="M1875"/>
      <c r="N1875"/>
      <c r="O1875"/>
      <c r="P1875"/>
      <c r="Q1875"/>
      <c r="R1875" s="8"/>
      <c r="S1875" s="1"/>
      <c r="T1875"/>
      <c r="U1875"/>
      <c r="V1875"/>
    </row>
    <row r="1876" spans="1:22" s="53" customFormat="1" x14ac:dyDescent="0.35">
      <c r="A1876" s="2"/>
      <c r="B1876" s="3"/>
      <c r="C1876" s="3"/>
      <c r="D1876" s="3"/>
      <c r="E1876"/>
      <c r="F1876"/>
      <c r="G1876"/>
      <c r="H1876" s="34"/>
      <c r="I1876"/>
      <c r="J1876"/>
      <c r="K1876"/>
      <c r="L1876"/>
      <c r="M1876"/>
      <c r="N1876"/>
      <c r="O1876"/>
      <c r="P1876"/>
      <c r="Q1876"/>
      <c r="R1876" s="8"/>
      <c r="S1876" s="1"/>
      <c r="T1876"/>
      <c r="U1876"/>
      <c r="V1876"/>
    </row>
    <row r="1877" spans="1:22" s="53" customFormat="1" x14ac:dyDescent="0.35">
      <c r="A1877" s="2"/>
      <c r="B1877" s="3"/>
      <c r="C1877" s="3"/>
      <c r="D1877" s="3"/>
      <c r="E1877"/>
      <c r="F1877"/>
      <c r="G1877"/>
      <c r="H1877" s="34"/>
      <c r="I1877"/>
      <c r="J1877"/>
      <c r="K1877"/>
      <c r="L1877"/>
      <c r="M1877"/>
      <c r="N1877"/>
      <c r="O1877"/>
      <c r="P1877"/>
      <c r="Q1877"/>
      <c r="R1877" s="8"/>
      <c r="S1877" s="1"/>
      <c r="T1877"/>
      <c r="U1877"/>
      <c r="V1877"/>
    </row>
    <row r="1878" spans="1:22" s="53" customFormat="1" x14ac:dyDescent="0.35">
      <c r="A1878" s="2"/>
      <c r="B1878" s="3"/>
      <c r="C1878" s="3"/>
      <c r="D1878" s="3"/>
      <c r="E1878"/>
      <c r="F1878"/>
      <c r="G1878"/>
      <c r="H1878" s="34"/>
      <c r="I1878"/>
      <c r="J1878"/>
      <c r="K1878"/>
      <c r="L1878"/>
      <c r="M1878"/>
      <c r="N1878"/>
      <c r="O1878"/>
      <c r="P1878"/>
      <c r="Q1878"/>
      <c r="R1878" s="8"/>
      <c r="S1878" s="1"/>
      <c r="T1878"/>
      <c r="U1878"/>
      <c r="V1878"/>
    </row>
    <row r="1879" spans="1:22" s="53" customFormat="1" x14ac:dyDescent="0.35">
      <c r="A1879" s="2"/>
      <c r="B1879" s="3"/>
      <c r="C1879" s="3"/>
      <c r="D1879" s="3"/>
      <c r="E1879"/>
      <c r="F1879"/>
      <c r="G1879"/>
      <c r="H1879" s="34"/>
      <c r="I1879"/>
      <c r="J1879"/>
      <c r="K1879"/>
      <c r="L1879"/>
      <c r="M1879"/>
      <c r="N1879"/>
      <c r="O1879"/>
      <c r="P1879"/>
      <c r="Q1879"/>
      <c r="R1879" s="8"/>
      <c r="S1879" s="1"/>
      <c r="T1879"/>
      <c r="U1879"/>
      <c r="V1879"/>
    </row>
    <row r="1880" spans="1:22" s="53" customFormat="1" x14ac:dyDescent="0.35">
      <c r="A1880" s="2"/>
      <c r="B1880" s="3"/>
      <c r="C1880" s="3"/>
      <c r="D1880" s="3"/>
      <c r="E1880"/>
      <c r="F1880"/>
      <c r="G1880"/>
      <c r="H1880" s="34"/>
      <c r="I1880"/>
      <c r="J1880"/>
      <c r="K1880"/>
      <c r="L1880"/>
      <c r="M1880"/>
      <c r="N1880"/>
      <c r="O1880"/>
      <c r="P1880"/>
      <c r="Q1880"/>
      <c r="R1880" s="8"/>
      <c r="S1880" s="1"/>
      <c r="T1880"/>
      <c r="U1880"/>
      <c r="V1880"/>
    </row>
    <row r="1881" spans="1:22" s="53" customFormat="1" x14ac:dyDescent="0.35">
      <c r="A1881" s="2"/>
      <c r="B1881" s="3"/>
      <c r="C1881" s="3"/>
      <c r="D1881" s="3"/>
      <c r="E1881"/>
      <c r="F1881"/>
      <c r="G1881"/>
      <c r="H1881" s="34"/>
      <c r="I1881"/>
      <c r="J1881"/>
      <c r="K1881"/>
      <c r="L1881"/>
      <c r="M1881"/>
      <c r="N1881"/>
      <c r="O1881"/>
      <c r="P1881"/>
      <c r="Q1881"/>
      <c r="R1881" s="8"/>
      <c r="S1881" s="1"/>
      <c r="T1881"/>
      <c r="U1881"/>
      <c r="V1881"/>
    </row>
    <row r="1882" spans="1:22" s="53" customFormat="1" x14ac:dyDescent="0.35">
      <c r="A1882" s="2"/>
      <c r="B1882" s="3"/>
      <c r="C1882" s="3"/>
      <c r="D1882" s="3"/>
      <c r="E1882"/>
      <c r="F1882"/>
      <c r="G1882"/>
      <c r="H1882" s="34"/>
      <c r="I1882"/>
      <c r="J1882"/>
      <c r="K1882"/>
      <c r="L1882"/>
      <c r="M1882"/>
      <c r="N1882"/>
      <c r="O1882"/>
      <c r="P1882"/>
      <c r="Q1882"/>
      <c r="R1882" s="8"/>
      <c r="S1882" s="1"/>
      <c r="T1882"/>
      <c r="U1882"/>
      <c r="V1882"/>
    </row>
    <row r="1883" spans="1:22" s="53" customFormat="1" x14ac:dyDescent="0.35">
      <c r="A1883" s="2"/>
      <c r="B1883" s="3"/>
      <c r="C1883" s="3"/>
      <c r="D1883" s="3"/>
      <c r="E1883"/>
      <c r="F1883"/>
      <c r="G1883"/>
      <c r="H1883" s="34"/>
      <c r="I1883"/>
      <c r="J1883"/>
      <c r="K1883"/>
      <c r="L1883"/>
      <c r="M1883"/>
      <c r="N1883"/>
      <c r="O1883"/>
      <c r="P1883"/>
      <c r="Q1883"/>
      <c r="R1883" s="8"/>
      <c r="S1883" s="1"/>
      <c r="T1883"/>
      <c r="U1883"/>
      <c r="V1883"/>
    </row>
    <row r="1884" spans="1:22" s="53" customFormat="1" x14ac:dyDescent="0.35">
      <c r="A1884" s="2"/>
      <c r="B1884" s="3"/>
      <c r="C1884" s="3"/>
      <c r="D1884" s="3"/>
      <c r="E1884"/>
      <c r="F1884"/>
      <c r="G1884"/>
      <c r="H1884" s="34"/>
      <c r="I1884"/>
      <c r="J1884"/>
      <c r="K1884"/>
      <c r="L1884"/>
      <c r="M1884"/>
      <c r="N1884"/>
      <c r="O1884"/>
      <c r="P1884"/>
      <c r="Q1884"/>
      <c r="R1884" s="8"/>
      <c r="S1884" s="1"/>
      <c r="T1884"/>
      <c r="U1884"/>
      <c r="V1884"/>
    </row>
    <row r="1885" spans="1:22" s="53" customFormat="1" x14ac:dyDescent="0.35">
      <c r="A1885" s="2"/>
      <c r="B1885" s="3"/>
      <c r="C1885" s="3"/>
      <c r="D1885" s="3"/>
      <c r="E1885"/>
      <c r="F1885"/>
      <c r="G1885"/>
      <c r="H1885" s="34"/>
      <c r="I1885"/>
      <c r="J1885"/>
      <c r="K1885"/>
      <c r="L1885"/>
      <c r="M1885"/>
      <c r="N1885"/>
      <c r="O1885"/>
      <c r="P1885"/>
      <c r="Q1885"/>
      <c r="R1885" s="8"/>
      <c r="S1885" s="1"/>
      <c r="T1885"/>
      <c r="U1885"/>
      <c r="V1885"/>
    </row>
    <row r="1886" spans="1:22" s="53" customFormat="1" x14ac:dyDescent="0.35">
      <c r="A1886" s="2"/>
      <c r="B1886" s="3"/>
      <c r="C1886" s="3"/>
      <c r="D1886" s="3"/>
      <c r="E1886"/>
      <c r="F1886"/>
      <c r="G1886"/>
      <c r="H1886" s="34"/>
      <c r="I1886"/>
      <c r="J1886"/>
      <c r="K1886"/>
      <c r="L1886"/>
      <c r="M1886"/>
      <c r="N1886"/>
      <c r="O1886"/>
      <c r="P1886"/>
      <c r="Q1886"/>
      <c r="R1886" s="8"/>
      <c r="S1886" s="1"/>
      <c r="T1886"/>
      <c r="U1886"/>
      <c r="V1886"/>
    </row>
    <row r="1887" spans="1:22" s="53" customFormat="1" x14ac:dyDescent="0.35">
      <c r="A1887" s="2"/>
      <c r="B1887" s="3"/>
      <c r="C1887" s="3"/>
      <c r="D1887" s="3"/>
      <c r="E1887"/>
      <c r="F1887"/>
      <c r="G1887"/>
      <c r="H1887" s="34"/>
      <c r="I1887"/>
      <c r="J1887"/>
      <c r="K1887"/>
      <c r="L1887"/>
      <c r="M1887"/>
      <c r="N1887"/>
      <c r="O1887"/>
      <c r="P1887"/>
      <c r="Q1887"/>
      <c r="R1887" s="8"/>
      <c r="S1887" s="1"/>
      <c r="T1887"/>
      <c r="U1887"/>
      <c r="V1887"/>
    </row>
    <row r="1888" spans="1:22" s="53" customFormat="1" x14ac:dyDescent="0.35">
      <c r="A1888" s="2"/>
      <c r="B1888" s="3"/>
      <c r="C1888" s="3"/>
      <c r="D1888" s="3"/>
      <c r="E1888"/>
      <c r="F1888"/>
      <c r="G1888"/>
      <c r="H1888" s="34"/>
      <c r="I1888"/>
      <c r="J1888"/>
      <c r="K1888"/>
      <c r="L1888"/>
      <c r="M1888"/>
      <c r="N1888"/>
      <c r="O1888"/>
      <c r="P1888"/>
      <c r="Q1888"/>
      <c r="R1888" s="8"/>
      <c r="S1888" s="1"/>
      <c r="T1888"/>
      <c r="U1888"/>
      <c r="V1888"/>
    </row>
    <row r="1889" spans="1:22" s="53" customFormat="1" x14ac:dyDescent="0.35">
      <c r="A1889" s="2"/>
      <c r="B1889" s="3"/>
      <c r="C1889" s="3"/>
      <c r="D1889" s="3"/>
      <c r="E1889"/>
      <c r="F1889"/>
      <c r="G1889"/>
      <c r="H1889" s="34"/>
      <c r="I1889"/>
      <c r="J1889"/>
      <c r="K1889"/>
      <c r="L1889"/>
      <c r="M1889"/>
      <c r="N1889"/>
      <c r="O1889"/>
      <c r="P1889"/>
      <c r="Q1889"/>
      <c r="R1889" s="8"/>
      <c r="S1889" s="1"/>
      <c r="T1889"/>
      <c r="U1889"/>
      <c r="V1889"/>
    </row>
    <row r="1890" spans="1:22" s="53" customFormat="1" x14ac:dyDescent="0.35">
      <c r="A1890" s="2"/>
      <c r="B1890" s="3"/>
      <c r="C1890" s="3"/>
      <c r="D1890" s="3"/>
      <c r="E1890"/>
      <c r="F1890"/>
      <c r="G1890"/>
      <c r="H1890" s="34"/>
      <c r="I1890"/>
      <c r="J1890"/>
      <c r="K1890"/>
      <c r="L1890"/>
      <c r="M1890"/>
      <c r="N1890"/>
      <c r="O1890"/>
      <c r="P1890"/>
      <c r="Q1890"/>
      <c r="R1890" s="8"/>
      <c r="S1890" s="1"/>
      <c r="T1890"/>
      <c r="U1890"/>
      <c r="V1890"/>
    </row>
    <row r="1891" spans="1:22" s="53" customFormat="1" x14ac:dyDescent="0.35">
      <c r="A1891" s="2"/>
      <c r="B1891" s="3"/>
      <c r="C1891" s="3"/>
      <c r="D1891" s="3"/>
      <c r="E1891"/>
      <c r="F1891"/>
      <c r="G1891"/>
      <c r="H1891" s="34"/>
      <c r="I1891"/>
      <c r="J1891"/>
      <c r="K1891"/>
      <c r="L1891"/>
      <c r="M1891"/>
      <c r="N1891"/>
      <c r="O1891"/>
      <c r="P1891"/>
      <c r="Q1891"/>
      <c r="R1891" s="8"/>
      <c r="S1891" s="1"/>
      <c r="T1891"/>
      <c r="U1891"/>
      <c r="V1891"/>
    </row>
    <row r="1892" spans="1:22" s="53" customFormat="1" x14ac:dyDescent="0.3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 s="1"/>
      <c r="T1892"/>
      <c r="U1892"/>
      <c r="V1892"/>
    </row>
    <row r="1893" spans="1:22" s="53" customFormat="1" x14ac:dyDescent="0.3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 s="1"/>
      <c r="T1893"/>
      <c r="U1893"/>
      <c r="V1893"/>
    </row>
    <row r="1894" spans="1:22" s="53" customFormat="1" x14ac:dyDescent="0.3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 s="1"/>
      <c r="T1894"/>
      <c r="U1894"/>
      <c r="V1894"/>
    </row>
    <row r="1895" spans="1:22" s="53" customFormat="1" x14ac:dyDescent="0.3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 s="1"/>
      <c r="T1895"/>
      <c r="U1895"/>
      <c r="V1895"/>
    </row>
    <row r="1896" spans="1:22" s="53" customFormat="1" x14ac:dyDescent="0.3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 s="1"/>
      <c r="T1896"/>
      <c r="U1896"/>
      <c r="V1896"/>
    </row>
    <row r="1897" spans="1:22" s="53" customFormat="1" x14ac:dyDescent="0.3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 s="1"/>
      <c r="T1897"/>
      <c r="U1897"/>
      <c r="V1897"/>
    </row>
    <row r="1898" spans="1:22" s="53" customFormat="1" x14ac:dyDescent="0.3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 s="1"/>
      <c r="T1898"/>
      <c r="U1898"/>
      <c r="V1898"/>
    </row>
    <row r="1899" spans="1:22" s="53" customFormat="1" x14ac:dyDescent="0.3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 s="1"/>
      <c r="T1899"/>
      <c r="U1899"/>
      <c r="V1899"/>
    </row>
    <row r="1900" spans="1:22" s="53" customFormat="1" x14ac:dyDescent="0.3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 s="1"/>
      <c r="T1900"/>
      <c r="U1900"/>
      <c r="V1900"/>
    </row>
    <row r="1901" spans="1:22" s="53" customFormat="1" x14ac:dyDescent="0.3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 s="1"/>
      <c r="T1901"/>
      <c r="U1901"/>
      <c r="V1901"/>
    </row>
    <row r="1902" spans="1:22" s="53" customFormat="1" x14ac:dyDescent="0.3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 s="1"/>
      <c r="T1902"/>
      <c r="U1902"/>
      <c r="V1902"/>
    </row>
    <row r="1903" spans="1:22" s="53" customFormat="1" x14ac:dyDescent="0.3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 s="1"/>
      <c r="T1903"/>
      <c r="U1903"/>
      <c r="V1903"/>
    </row>
    <row r="1904" spans="1:22" s="53" customFormat="1" x14ac:dyDescent="0.3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 s="1"/>
      <c r="T1904"/>
      <c r="U1904"/>
      <c r="V1904"/>
    </row>
    <row r="1905" spans="1:22" s="53" customFormat="1" x14ac:dyDescent="0.3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 s="1"/>
      <c r="T1905"/>
      <c r="U1905"/>
      <c r="V1905"/>
    </row>
    <row r="1906" spans="1:22" s="53" customFormat="1" x14ac:dyDescent="0.3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 s="1"/>
      <c r="T1906"/>
      <c r="U1906"/>
      <c r="V1906"/>
    </row>
    <row r="1907" spans="1:22" s="53" customFormat="1" x14ac:dyDescent="0.3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 s="1"/>
      <c r="T1907"/>
      <c r="U1907"/>
      <c r="V1907"/>
    </row>
    <row r="1908" spans="1:22" s="53" customFormat="1" x14ac:dyDescent="0.3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 s="1"/>
      <c r="T1908"/>
      <c r="U1908"/>
      <c r="V1908"/>
    </row>
    <row r="1909" spans="1:22" s="53" customFormat="1" x14ac:dyDescent="0.3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 s="1"/>
      <c r="T1909"/>
      <c r="U1909"/>
      <c r="V1909"/>
    </row>
    <row r="1910" spans="1:22" s="53" customFormat="1" x14ac:dyDescent="0.3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 s="1"/>
      <c r="T1910"/>
      <c r="U1910"/>
      <c r="V1910"/>
    </row>
    <row r="1911" spans="1:22" s="53" customFormat="1" x14ac:dyDescent="0.3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 s="1"/>
      <c r="T1911"/>
      <c r="U1911"/>
      <c r="V1911"/>
    </row>
    <row r="1912" spans="1:22" s="53" customFormat="1" x14ac:dyDescent="0.3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 s="1"/>
      <c r="T1912"/>
      <c r="U1912"/>
      <c r="V1912"/>
    </row>
    <row r="1913" spans="1:22" s="53" customFormat="1" x14ac:dyDescent="0.3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 s="1"/>
      <c r="T1913"/>
      <c r="U1913"/>
      <c r="V1913"/>
    </row>
    <row r="1914" spans="1:22" s="53" customFormat="1" x14ac:dyDescent="0.3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 s="1"/>
      <c r="T1914"/>
      <c r="U1914"/>
      <c r="V1914"/>
    </row>
    <row r="1915" spans="1:22" s="53" customFormat="1" x14ac:dyDescent="0.3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 s="1"/>
      <c r="T1915"/>
      <c r="U1915"/>
      <c r="V1915"/>
    </row>
    <row r="1916" spans="1:22" s="53" customFormat="1" x14ac:dyDescent="0.3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 s="1"/>
      <c r="T1916"/>
      <c r="U1916"/>
      <c r="V1916"/>
    </row>
    <row r="1917" spans="1:22" s="53" customFormat="1" x14ac:dyDescent="0.3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 s="1"/>
      <c r="T1917"/>
      <c r="U1917"/>
      <c r="V1917"/>
    </row>
    <row r="1918" spans="1:22" s="53" customFormat="1" x14ac:dyDescent="0.3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 s="1"/>
      <c r="T1918"/>
      <c r="U1918"/>
      <c r="V1918"/>
    </row>
    <row r="1919" spans="1:22" s="53" customFormat="1" x14ac:dyDescent="0.3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 s="1"/>
      <c r="T1919"/>
      <c r="U1919"/>
      <c r="V1919"/>
    </row>
    <row r="1920" spans="1:22" s="53" customFormat="1" x14ac:dyDescent="0.3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 s="1"/>
      <c r="T1920"/>
      <c r="U1920"/>
      <c r="V1920"/>
    </row>
    <row r="1921" spans="1:22" s="53" customFormat="1" x14ac:dyDescent="0.3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 s="1"/>
      <c r="T1921"/>
      <c r="U1921"/>
      <c r="V1921"/>
    </row>
    <row r="1922" spans="1:22" s="53" customFormat="1" x14ac:dyDescent="0.3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 s="1"/>
      <c r="T1922"/>
      <c r="U1922"/>
      <c r="V1922"/>
    </row>
    <row r="1923" spans="1:22" s="53" customFormat="1" x14ac:dyDescent="0.3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 s="1"/>
      <c r="T1923"/>
      <c r="U1923"/>
      <c r="V1923"/>
    </row>
    <row r="1924" spans="1:22" s="53" customFormat="1" x14ac:dyDescent="0.3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 s="1"/>
      <c r="T1924"/>
      <c r="U1924"/>
      <c r="V1924"/>
    </row>
    <row r="1925" spans="1:22" s="53" customFormat="1" x14ac:dyDescent="0.3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 s="1"/>
      <c r="T1925"/>
      <c r="U1925"/>
      <c r="V1925"/>
    </row>
    <row r="1926" spans="1:22" s="53" customFormat="1" x14ac:dyDescent="0.3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 s="1"/>
      <c r="T1926"/>
      <c r="U1926"/>
      <c r="V1926"/>
    </row>
    <row r="1927" spans="1:22" s="53" customFormat="1" x14ac:dyDescent="0.3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 s="1"/>
      <c r="T1927"/>
      <c r="U1927"/>
      <c r="V1927"/>
    </row>
    <row r="1928" spans="1:22" s="53" customFormat="1" x14ac:dyDescent="0.3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 s="1"/>
      <c r="T1928"/>
      <c r="U1928"/>
      <c r="V1928"/>
    </row>
    <row r="1929" spans="1:22" s="53" customFormat="1" x14ac:dyDescent="0.3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 s="1"/>
      <c r="T1929"/>
      <c r="U1929"/>
      <c r="V1929"/>
    </row>
    <row r="1930" spans="1:22" s="53" customFormat="1" x14ac:dyDescent="0.3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 s="1"/>
      <c r="T1930"/>
      <c r="U1930"/>
      <c r="V1930"/>
    </row>
    <row r="1931" spans="1:22" s="53" customFormat="1" x14ac:dyDescent="0.3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 s="1"/>
      <c r="T1931"/>
      <c r="U1931"/>
      <c r="V1931"/>
    </row>
    <row r="1932" spans="1:22" s="53" customFormat="1" x14ac:dyDescent="0.3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 s="1"/>
      <c r="T1932"/>
      <c r="U1932"/>
      <c r="V1932"/>
    </row>
    <row r="1933" spans="1:22" s="53" customFormat="1" x14ac:dyDescent="0.3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 s="1"/>
      <c r="T1933"/>
      <c r="U1933"/>
      <c r="V1933"/>
    </row>
    <row r="1934" spans="1:22" s="53" customFormat="1" x14ac:dyDescent="0.3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 s="1"/>
      <c r="T1934"/>
      <c r="U1934"/>
      <c r="V1934"/>
    </row>
    <row r="1935" spans="1:22" s="53" customFormat="1" x14ac:dyDescent="0.3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 s="1"/>
      <c r="T1935"/>
      <c r="U1935"/>
      <c r="V1935"/>
    </row>
    <row r="1936" spans="1:22" s="53" customFormat="1" x14ac:dyDescent="0.3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 s="1"/>
      <c r="T1936"/>
      <c r="U1936"/>
      <c r="V1936"/>
    </row>
    <row r="1937" spans="1:22" s="53" customFormat="1" x14ac:dyDescent="0.3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 s="1"/>
      <c r="T1937"/>
      <c r="U1937"/>
      <c r="V1937"/>
    </row>
    <row r="1938" spans="1:22" s="53" customFormat="1" x14ac:dyDescent="0.3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 s="1"/>
      <c r="T1938"/>
      <c r="U1938"/>
      <c r="V1938"/>
    </row>
    <row r="1939" spans="1:22" s="53" customFormat="1" x14ac:dyDescent="0.3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 s="1"/>
      <c r="T1939"/>
      <c r="U1939"/>
      <c r="V1939"/>
    </row>
    <row r="1940" spans="1:22" s="53" customFormat="1" x14ac:dyDescent="0.3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 s="1"/>
      <c r="T1940"/>
      <c r="U1940"/>
      <c r="V1940"/>
    </row>
    <row r="1941" spans="1:22" s="53" customFormat="1" x14ac:dyDescent="0.3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 s="1"/>
      <c r="T1941"/>
      <c r="U1941"/>
      <c r="V1941"/>
    </row>
    <row r="1942" spans="1:22" s="53" customFormat="1" x14ac:dyDescent="0.3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 s="1"/>
      <c r="T1942"/>
      <c r="U1942"/>
      <c r="V1942"/>
    </row>
    <row r="1943" spans="1:22" s="53" customFormat="1" x14ac:dyDescent="0.3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 s="1"/>
      <c r="T1943"/>
      <c r="U1943"/>
      <c r="V1943"/>
    </row>
    <row r="1944" spans="1:22" s="53" customFormat="1" x14ac:dyDescent="0.3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 s="1"/>
      <c r="T1944"/>
      <c r="U1944"/>
      <c r="V1944"/>
    </row>
    <row r="1945" spans="1:22" s="53" customFormat="1" x14ac:dyDescent="0.3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 s="1"/>
      <c r="T1945"/>
      <c r="U1945"/>
      <c r="V1945"/>
    </row>
    <row r="1946" spans="1:22" s="53" customFormat="1" x14ac:dyDescent="0.3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 s="1"/>
      <c r="T1946"/>
      <c r="U1946"/>
      <c r="V1946"/>
    </row>
    <row r="1947" spans="1:22" s="53" customFormat="1" x14ac:dyDescent="0.3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 s="1"/>
      <c r="T1947"/>
      <c r="U1947"/>
      <c r="V1947"/>
    </row>
    <row r="1948" spans="1:22" s="53" customFormat="1" x14ac:dyDescent="0.3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 s="1"/>
      <c r="T1948"/>
      <c r="U1948"/>
      <c r="V1948"/>
    </row>
    <row r="1949" spans="1:22" s="53" customFormat="1" x14ac:dyDescent="0.3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 s="1"/>
      <c r="T1949"/>
      <c r="U1949"/>
      <c r="V1949"/>
    </row>
    <row r="1950" spans="1:22" s="53" customFormat="1" x14ac:dyDescent="0.3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 s="1"/>
      <c r="T1950"/>
      <c r="U1950"/>
      <c r="V1950"/>
    </row>
    <row r="1951" spans="1:22" s="53" customFormat="1" x14ac:dyDescent="0.3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 s="1"/>
      <c r="T1951"/>
      <c r="U1951"/>
      <c r="V1951"/>
    </row>
    <row r="1952" spans="1:22" s="53" customFormat="1" x14ac:dyDescent="0.3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 s="1"/>
      <c r="T1952"/>
      <c r="U1952"/>
      <c r="V1952"/>
    </row>
    <row r="1953" spans="1:22" s="53" customFormat="1" x14ac:dyDescent="0.3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 s="1"/>
      <c r="T1953"/>
      <c r="U1953"/>
      <c r="V1953"/>
    </row>
    <row r="1954" spans="1:22" s="53" customFormat="1" x14ac:dyDescent="0.3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 s="1"/>
      <c r="T1954"/>
      <c r="U1954"/>
      <c r="V1954"/>
    </row>
    <row r="1955" spans="1:22" s="53" customFormat="1" x14ac:dyDescent="0.3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 s="1"/>
      <c r="T1955"/>
      <c r="U1955"/>
      <c r="V1955"/>
    </row>
    <row r="1956" spans="1:22" s="53" customFormat="1" x14ac:dyDescent="0.3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 s="1"/>
      <c r="T1956"/>
      <c r="U1956"/>
      <c r="V1956"/>
    </row>
    <row r="1957" spans="1:22" s="53" customFormat="1" x14ac:dyDescent="0.3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 s="1"/>
      <c r="T1957"/>
      <c r="U1957"/>
      <c r="V1957"/>
    </row>
    <row r="1958" spans="1:22" s="53" customFormat="1" x14ac:dyDescent="0.3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 s="1"/>
      <c r="T1958"/>
      <c r="U1958"/>
      <c r="V1958"/>
    </row>
    <row r="1959" spans="1:22" s="53" customFormat="1" x14ac:dyDescent="0.3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 s="1"/>
      <c r="T1959"/>
      <c r="U1959"/>
      <c r="V1959"/>
    </row>
    <row r="1960" spans="1:22" s="53" customFormat="1" x14ac:dyDescent="0.3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 s="1"/>
      <c r="T1960"/>
      <c r="U1960"/>
      <c r="V1960"/>
    </row>
    <row r="1961" spans="1:22" s="53" customFormat="1" x14ac:dyDescent="0.3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 s="1"/>
      <c r="T1961"/>
      <c r="U1961"/>
      <c r="V1961"/>
    </row>
    <row r="1962" spans="1:22" s="53" customFormat="1" x14ac:dyDescent="0.3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 s="1"/>
      <c r="T1962"/>
      <c r="U1962"/>
      <c r="V1962"/>
    </row>
    <row r="1963" spans="1:22" s="53" customFormat="1" x14ac:dyDescent="0.3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 s="1"/>
      <c r="T1963"/>
      <c r="U1963"/>
      <c r="V1963"/>
    </row>
    <row r="1964" spans="1:22" s="53" customFormat="1" x14ac:dyDescent="0.3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 s="1"/>
      <c r="T1964"/>
      <c r="U1964"/>
      <c r="V1964"/>
    </row>
    <row r="1965" spans="1:22" s="53" customFormat="1" x14ac:dyDescent="0.3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 s="1"/>
      <c r="T1965"/>
      <c r="U1965"/>
      <c r="V1965"/>
    </row>
    <row r="1966" spans="1:22" s="53" customFormat="1" x14ac:dyDescent="0.3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 s="1"/>
      <c r="T1966"/>
      <c r="U1966"/>
      <c r="V1966"/>
    </row>
    <row r="1967" spans="1:22" s="53" customFormat="1" x14ac:dyDescent="0.3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 s="1"/>
      <c r="T1967"/>
      <c r="U1967"/>
      <c r="V1967"/>
    </row>
    <row r="1968" spans="1:22" s="53" customFormat="1" x14ac:dyDescent="0.3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 s="1"/>
      <c r="T1968"/>
      <c r="U1968"/>
      <c r="V1968"/>
    </row>
    <row r="1969" spans="1:22" s="53" customFormat="1" x14ac:dyDescent="0.3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 s="1"/>
      <c r="T1969"/>
      <c r="U1969"/>
      <c r="V1969"/>
    </row>
    <row r="1970" spans="1:22" s="53" customFormat="1" x14ac:dyDescent="0.3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 s="1"/>
      <c r="T1970"/>
      <c r="U1970"/>
      <c r="V1970"/>
    </row>
    <row r="1971" spans="1:22" s="53" customFormat="1" x14ac:dyDescent="0.3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 s="1"/>
      <c r="T1971"/>
      <c r="U1971"/>
      <c r="V1971"/>
    </row>
    <row r="1972" spans="1:22" s="53" customFormat="1" x14ac:dyDescent="0.3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 s="1"/>
      <c r="T1972"/>
      <c r="U1972"/>
      <c r="V1972"/>
    </row>
    <row r="1973" spans="1:22" s="53" customFormat="1" x14ac:dyDescent="0.3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 s="1"/>
      <c r="T1973"/>
      <c r="U1973"/>
      <c r="V1973"/>
    </row>
    <row r="1974" spans="1:22" s="53" customFormat="1" x14ac:dyDescent="0.3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 s="1"/>
      <c r="T1974"/>
      <c r="U1974"/>
      <c r="V1974"/>
    </row>
    <row r="1975" spans="1:22" s="53" customFormat="1" x14ac:dyDescent="0.3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 s="1"/>
      <c r="T1975"/>
      <c r="U1975"/>
      <c r="V1975"/>
    </row>
    <row r="1976" spans="1:22" s="53" customFormat="1" x14ac:dyDescent="0.3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 s="1"/>
      <c r="T1976"/>
      <c r="U1976"/>
      <c r="V1976"/>
    </row>
    <row r="1977" spans="1:22" s="53" customFormat="1" x14ac:dyDescent="0.3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 s="1"/>
      <c r="T1977"/>
      <c r="U1977"/>
      <c r="V1977"/>
    </row>
    <row r="1978" spans="1:22" s="53" customFormat="1" x14ac:dyDescent="0.3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 s="1"/>
      <c r="T1978"/>
      <c r="U1978"/>
      <c r="V1978"/>
    </row>
    <row r="1979" spans="1:22" s="53" customFormat="1" x14ac:dyDescent="0.3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 s="1"/>
      <c r="T1979"/>
      <c r="U1979"/>
      <c r="V1979"/>
    </row>
    <row r="1980" spans="1:22" s="53" customFormat="1" x14ac:dyDescent="0.3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 s="1"/>
      <c r="T1980"/>
      <c r="U1980"/>
      <c r="V1980"/>
    </row>
    <row r="1981" spans="1:22" s="53" customFormat="1" x14ac:dyDescent="0.3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 s="1"/>
      <c r="T1981"/>
      <c r="U1981"/>
      <c r="V1981"/>
    </row>
    <row r="1982" spans="1:22" s="53" customFormat="1" x14ac:dyDescent="0.3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 s="1"/>
      <c r="T1982"/>
      <c r="U1982"/>
      <c r="V1982"/>
    </row>
    <row r="1983" spans="1:22" s="53" customFormat="1" x14ac:dyDescent="0.3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 s="1"/>
      <c r="T1983"/>
      <c r="U1983"/>
      <c r="V1983"/>
    </row>
    <row r="1984" spans="1:22" s="53" customFormat="1" x14ac:dyDescent="0.3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 s="1"/>
      <c r="T1984"/>
      <c r="U1984"/>
      <c r="V1984"/>
    </row>
    <row r="1985" spans="1:22" s="53" customFormat="1" x14ac:dyDescent="0.3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 s="1"/>
      <c r="T1985"/>
      <c r="U1985"/>
      <c r="V1985"/>
    </row>
    <row r="1986" spans="1:22" s="53" customFormat="1" x14ac:dyDescent="0.3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 s="1"/>
      <c r="T1986"/>
      <c r="U1986"/>
      <c r="V1986"/>
    </row>
    <row r="1987" spans="1:22" s="53" customFormat="1" x14ac:dyDescent="0.3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 s="1"/>
      <c r="T1987"/>
      <c r="U1987"/>
      <c r="V1987"/>
    </row>
    <row r="1988" spans="1:22" s="53" customFormat="1" x14ac:dyDescent="0.3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 s="1"/>
      <c r="T1988"/>
      <c r="U1988"/>
      <c r="V1988"/>
    </row>
    <row r="1989" spans="1:22" s="53" customFormat="1" x14ac:dyDescent="0.3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 s="1"/>
      <c r="T1989"/>
      <c r="U1989"/>
      <c r="V1989"/>
    </row>
    <row r="1990" spans="1:22" s="53" customFormat="1" x14ac:dyDescent="0.3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 s="1"/>
      <c r="T1990"/>
      <c r="U1990"/>
      <c r="V1990"/>
    </row>
    <row r="1991" spans="1:22" s="53" customFormat="1" x14ac:dyDescent="0.3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 s="1"/>
      <c r="T1991"/>
      <c r="U1991"/>
      <c r="V1991"/>
    </row>
    <row r="1992" spans="1:22" s="53" customFormat="1" x14ac:dyDescent="0.3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 s="1"/>
      <c r="T1992"/>
      <c r="U1992"/>
      <c r="V1992"/>
    </row>
    <row r="1993" spans="1:22" s="53" customFormat="1" x14ac:dyDescent="0.3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 s="1"/>
      <c r="T1993"/>
      <c r="U1993"/>
      <c r="V1993"/>
    </row>
    <row r="1994" spans="1:22" s="53" customFormat="1" x14ac:dyDescent="0.3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 s="1"/>
      <c r="T1994"/>
      <c r="U1994"/>
      <c r="V1994"/>
    </row>
    <row r="1995" spans="1:22" s="53" customFormat="1" x14ac:dyDescent="0.3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 s="1"/>
      <c r="T1995"/>
      <c r="U1995"/>
      <c r="V1995"/>
    </row>
    <row r="1996" spans="1:22" s="53" customFormat="1" x14ac:dyDescent="0.3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 s="1"/>
      <c r="T1996"/>
      <c r="U1996"/>
      <c r="V1996"/>
    </row>
    <row r="1997" spans="1:22" s="53" customFormat="1" x14ac:dyDescent="0.3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 s="1"/>
      <c r="T1997"/>
      <c r="U1997"/>
      <c r="V1997"/>
    </row>
    <row r="1998" spans="1:22" s="53" customFormat="1" x14ac:dyDescent="0.3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 s="1"/>
      <c r="T1998"/>
      <c r="U1998"/>
      <c r="V1998"/>
    </row>
    <row r="1999" spans="1:22" s="53" customFormat="1" x14ac:dyDescent="0.3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 s="1"/>
      <c r="T1999"/>
      <c r="U1999"/>
      <c r="V1999"/>
    </row>
    <row r="2000" spans="1:22" s="53" customFormat="1" x14ac:dyDescent="0.3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 s="1"/>
      <c r="T2000"/>
      <c r="U2000"/>
      <c r="V2000"/>
    </row>
    <row r="2001" spans="1:22" s="53" customFormat="1" x14ac:dyDescent="0.3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 s="1"/>
      <c r="T2001"/>
      <c r="U2001"/>
      <c r="V2001"/>
    </row>
    <row r="2002" spans="1:22" s="53" customFormat="1" x14ac:dyDescent="0.3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 s="1"/>
      <c r="T2002"/>
      <c r="U2002"/>
      <c r="V2002"/>
    </row>
    <row r="2003" spans="1:22" s="53" customFormat="1" x14ac:dyDescent="0.3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 s="1"/>
      <c r="T2003"/>
      <c r="U2003"/>
      <c r="V2003"/>
    </row>
    <row r="2004" spans="1:22" s="53" customFormat="1" x14ac:dyDescent="0.3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 s="1"/>
      <c r="T2004"/>
      <c r="U2004"/>
      <c r="V2004"/>
    </row>
    <row r="2005" spans="1:22" s="53" customFormat="1" x14ac:dyDescent="0.3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 s="1"/>
      <c r="T2005"/>
      <c r="U2005"/>
      <c r="V2005"/>
    </row>
    <row r="2006" spans="1:22" s="53" customFormat="1" x14ac:dyDescent="0.3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 s="1"/>
      <c r="T2006"/>
      <c r="U2006"/>
      <c r="V2006"/>
    </row>
    <row r="2007" spans="1:22" s="53" customFormat="1" x14ac:dyDescent="0.3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 s="1"/>
      <c r="T2007"/>
      <c r="U2007"/>
      <c r="V2007"/>
    </row>
    <row r="2008" spans="1:22" s="53" customFormat="1" x14ac:dyDescent="0.3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 s="1"/>
      <c r="T2008"/>
      <c r="U2008"/>
      <c r="V2008"/>
    </row>
    <row r="2009" spans="1:22" s="53" customFormat="1" x14ac:dyDescent="0.3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 s="1"/>
      <c r="T2009"/>
      <c r="U2009"/>
      <c r="V2009"/>
    </row>
    <row r="2010" spans="1:22" s="53" customFormat="1" x14ac:dyDescent="0.3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 s="1"/>
      <c r="T2010"/>
      <c r="U2010"/>
      <c r="V2010"/>
    </row>
    <row r="2011" spans="1:22" s="53" customFormat="1" x14ac:dyDescent="0.3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 s="1"/>
      <c r="T2011"/>
      <c r="U2011"/>
      <c r="V2011"/>
    </row>
    <row r="2012" spans="1:22" s="53" customFormat="1" x14ac:dyDescent="0.3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 s="1"/>
      <c r="T2012"/>
      <c r="U2012"/>
      <c r="V2012"/>
    </row>
    <row r="2013" spans="1:22" s="53" customFormat="1" x14ac:dyDescent="0.3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 s="1"/>
      <c r="T2013"/>
      <c r="U2013"/>
      <c r="V2013"/>
    </row>
    <row r="2014" spans="1:22" s="53" customFormat="1" x14ac:dyDescent="0.3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 s="1"/>
      <c r="T2014"/>
      <c r="U2014"/>
      <c r="V2014"/>
    </row>
    <row r="2015" spans="1:22" s="53" customFormat="1" x14ac:dyDescent="0.3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 s="1"/>
      <c r="T2015"/>
      <c r="U2015"/>
      <c r="V2015"/>
    </row>
    <row r="2016" spans="1:22" s="53" customFormat="1" x14ac:dyDescent="0.3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 s="1"/>
      <c r="T2016"/>
      <c r="U2016"/>
      <c r="V2016"/>
    </row>
    <row r="2017" spans="1:22" s="53" customFormat="1" x14ac:dyDescent="0.3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 s="1"/>
      <c r="T2017"/>
      <c r="U2017"/>
      <c r="V2017"/>
    </row>
    <row r="2018" spans="1:22" s="53" customFormat="1" x14ac:dyDescent="0.3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 s="1"/>
      <c r="T2018"/>
      <c r="U2018"/>
      <c r="V2018"/>
    </row>
    <row r="2019" spans="1:22" s="53" customFormat="1" x14ac:dyDescent="0.3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 s="1"/>
      <c r="T2019"/>
      <c r="U2019"/>
      <c r="V2019"/>
    </row>
    <row r="2020" spans="1:22" s="53" customFormat="1" x14ac:dyDescent="0.3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 s="1"/>
      <c r="T2020"/>
      <c r="U2020"/>
      <c r="V2020"/>
    </row>
    <row r="2021" spans="1:22" s="53" customFormat="1" x14ac:dyDescent="0.3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 s="1"/>
      <c r="T2021"/>
      <c r="U2021"/>
      <c r="V2021"/>
    </row>
    <row r="2022" spans="1:22" s="53" customFormat="1" x14ac:dyDescent="0.3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 s="1"/>
      <c r="T2022"/>
      <c r="U2022"/>
      <c r="V2022"/>
    </row>
    <row r="2023" spans="1:22" s="53" customFormat="1" x14ac:dyDescent="0.3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 s="1"/>
      <c r="T2023"/>
      <c r="U2023"/>
      <c r="V2023"/>
    </row>
    <row r="2024" spans="1:22" s="53" customFormat="1" x14ac:dyDescent="0.3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 s="1"/>
      <c r="T2024"/>
      <c r="U2024"/>
      <c r="V2024"/>
    </row>
    <row r="2025" spans="1:22" s="53" customFormat="1" x14ac:dyDescent="0.3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 s="1"/>
      <c r="T2025"/>
      <c r="U2025"/>
      <c r="V2025"/>
    </row>
    <row r="2026" spans="1:22" s="53" customFormat="1" x14ac:dyDescent="0.3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 s="1"/>
      <c r="T2026"/>
      <c r="U2026"/>
      <c r="V2026"/>
    </row>
    <row r="2027" spans="1:22" s="53" customFormat="1" x14ac:dyDescent="0.3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 s="1"/>
      <c r="T2027"/>
      <c r="U2027"/>
      <c r="V2027"/>
    </row>
    <row r="2028" spans="1:22" s="53" customFormat="1" x14ac:dyDescent="0.3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 s="1"/>
      <c r="T2028"/>
      <c r="U2028"/>
      <c r="V2028"/>
    </row>
    <row r="2029" spans="1:22" s="53" customFormat="1" x14ac:dyDescent="0.3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 s="1"/>
      <c r="T2029"/>
      <c r="U2029"/>
      <c r="V2029"/>
    </row>
    <row r="2030" spans="1:22" s="53" customFormat="1" x14ac:dyDescent="0.3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 s="1"/>
      <c r="T2030"/>
      <c r="U2030"/>
      <c r="V2030"/>
    </row>
    <row r="2031" spans="1:22" s="53" customFormat="1" x14ac:dyDescent="0.3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 s="1"/>
      <c r="T2031"/>
      <c r="U2031"/>
      <c r="V2031"/>
    </row>
    <row r="2032" spans="1:22" s="53" customFormat="1" x14ac:dyDescent="0.3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 s="1"/>
      <c r="T2032"/>
      <c r="U2032"/>
      <c r="V2032"/>
    </row>
    <row r="2033" spans="1:22" s="53" customFormat="1" x14ac:dyDescent="0.3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 s="1"/>
      <c r="T2033"/>
      <c r="U2033"/>
      <c r="V2033"/>
    </row>
    <row r="2034" spans="1:22" s="53" customFormat="1" x14ac:dyDescent="0.3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 s="1"/>
      <c r="T2034"/>
      <c r="U2034"/>
      <c r="V2034"/>
    </row>
    <row r="2035" spans="1:22" s="53" customFormat="1" x14ac:dyDescent="0.3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 s="1"/>
      <c r="T2035"/>
      <c r="U2035"/>
      <c r="V2035"/>
    </row>
    <row r="2036" spans="1:22" s="53" customFormat="1" x14ac:dyDescent="0.3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 s="1"/>
      <c r="T2036"/>
      <c r="U2036"/>
      <c r="V2036"/>
    </row>
    <row r="2037" spans="1:22" s="53" customFormat="1" x14ac:dyDescent="0.3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 s="1"/>
      <c r="T2037"/>
      <c r="U2037"/>
      <c r="V2037"/>
    </row>
    <row r="2038" spans="1:22" s="53" customFormat="1" x14ac:dyDescent="0.3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 s="1"/>
      <c r="T2038"/>
      <c r="U2038"/>
      <c r="V2038"/>
    </row>
    <row r="2039" spans="1:22" s="53" customFormat="1" x14ac:dyDescent="0.3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 s="1"/>
      <c r="T2039"/>
      <c r="U2039"/>
      <c r="V2039"/>
    </row>
    <row r="2040" spans="1:22" s="53" customFormat="1" x14ac:dyDescent="0.3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 s="1"/>
      <c r="T2040"/>
      <c r="U2040"/>
      <c r="V2040"/>
    </row>
    <row r="2041" spans="1:22" s="53" customFormat="1" x14ac:dyDescent="0.3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 s="1"/>
      <c r="T2041"/>
      <c r="U2041"/>
      <c r="V2041"/>
    </row>
    <row r="2042" spans="1:22" s="53" customFormat="1" x14ac:dyDescent="0.3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 s="1"/>
      <c r="T2042"/>
      <c r="U2042"/>
      <c r="V2042"/>
    </row>
    <row r="2043" spans="1:22" s="53" customFormat="1" x14ac:dyDescent="0.3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 s="1"/>
      <c r="T2043"/>
      <c r="U2043"/>
      <c r="V2043"/>
    </row>
    <row r="2044" spans="1:22" s="53" customFormat="1" x14ac:dyDescent="0.3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 s="1"/>
      <c r="T2044"/>
      <c r="U2044"/>
      <c r="V2044"/>
    </row>
    <row r="2045" spans="1:22" s="53" customFormat="1" x14ac:dyDescent="0.3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 s="1"/>
      <c r="T2045"/>
      <c r="U2045"/>
      <c r="V2045"/>
    </row>
    <row r="2046" spans="1:22" s="53" customFormat="1" x14ac:dyDescent="0.3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 s="1"/>
      <c r="T2046"/>
      <c r="U2046"/>
      <c r="V2046"/>
    </row>
    <row r="2047" spans="1:22" s="53" customFormat="1" x14ac:dyDescent="0.3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 s="1"/>
      <c r="T2047"/>
      <c r="U2047"/>
      <c r="V2047"/>
    </row>
    <row r="2048" spans="1:22" s="53" customFormat="1" x14ac:dyDescent="0.3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 s="1"/>
      <c r="T2048"/>
      <c r="U2048"/>
      <c r="V2048"/>
    </row>
    <row r="2049" spans="1:22" s="53" customFormat="1" x14ac:dyDescent="0.3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 s="1"/>
      <c r="T2049"/>
      <c r="U2049"/>
      <c r="V2049"/>
    </row>
    <row r="2050" spans="1:22" s="53" customFormat="1" x14ac:dyDescent="0.3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 s="1"/>
      <c r="T2050"/>
      <c r="U2050"/>
      <c r="V2050"/>
    </row>
    <row r="2051" spans="1:22" s="53" customFormat="1" x14ac:dyDescent="0.3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 s="1"/>
      <c r="T2051"/>
      <c r="U2051"/>
      <c r="V2051"/>
    </row>
    <row r="2052" spans="1:22" s="53" customFormat="1" x14ac:dyDescent="0.3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 s="1"/>
      <c r="T2052"/>
      <c r="U2052"/>
      <c r="V2052"/>
    </row>
    <row r="2053" spans="1:22" s="53" customFormat="1" x14ac:dyDescent="0.3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 s="1"/>
      <c r="T2053"/>
      <c r="U2053"/>
      <c r="V2053"/>
    </row>
    <row r="2054" spans="1:22" s="53" customFormat="1" x14ac:dyDescent="0.3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 s="1"/>
      <c r="T2054"/>
      <c r="U2054"/>
      <c r="V2054"/>
    </row>
    <row r="2055" spans="1:22" s="53" customFormat="1" x14ac:dyDescent="0.3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 s="1"/>
      <c r="T2055"/>
      <c r="U2055"/>
      <c r="V2055"/>
    </row>
    <row r="2056" spans="1:22" s="53" customFormat="1" x14ac:dyDescent="0.3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 s="1"/>
      <c r="T2056"/>
      <c r="U2056"/>
      <c r="V2056"/>
    </row>
    <row r="2057" spans="1:22" s="53" customFormat="1" x14ac:dyDescent="0.3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 s="1"/>
      <c r="T2057"/>
      <c r="U2057"/>
      <c r="V2057"/>
    </row>
    <row r="2058" spans="1:22" s="53" customFormat="1" x14ac:dyDescent="0.3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 s="1"/>
      <c r="T2058"/>
      <c r="U2058"/>
      <c r="V2058"/>
    </row>
    <row r="2059" spans="1:22" s="53" customFormat="1" x14ac:dyDescent="0.3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 s="1"/>
      <c r="T2059"/>
      <c r="U2059"/>
      <c r="V2059"/>
    </row>
    <row r="2060" spans="1:22" s="53" customFormat="1" x14ac:dyDescent="0.3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 s="1"/>
      <c r="T2060"/>
      <c r="U2060"/>
      <c r="V2060"/>
    </row>
    <row r="2061" spans="1:22" s="53" customFormat="1" x14ac:dyDescent="0.3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 s="1"/>
      <c r="T2061"/>
      <c r="U2061"/>
      <c r="V2061"/>
    </row>
    <row r="2062" spans="1:22" s="53" customFormat="1" x14ac:dyDescent="0.3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 s="1"/>
      <c r="T2062"/>
      <c r="U2062"/>
      <c r="V2062"/>
    </row>
    <row r="2063" spans="1:22" s="53" customFormat="1" x14ac:dyDescent="0.3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 s="1"/>
      <c r="T2063"/>
      <c r="U2063"/>
      <c r="V2063"/>
    </row>
    <row r="2064" spans="1:22" s="53" customFormat="1" x14ac:dyDescent="0.3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 s="1"/>
      <c r="T2064"/>
      <c r="U2064"/>
      <c r="V2064"/>
    </row>
    <row r="2065" spans="1:22" s="53" customFormat="1" x14ac:dyDescent="0.3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 s="1"/>
      <c r="T2065"/>
      <c r="U2065"/>
      <c r="V2065"/>
    </row>
    <row r="2066" spans="1:22" s="53" customFormat="1" x14ac:dyDescent="0.3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 s="1"/>
      <c r="T2066"/>
      <c r="U2066"/>
      <c r="V2066"/>
    </row>
    <row r="2067" spans="1:22" s="53" customFormat="1" x14ac:dyDescent="0.3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 s="1"/>
      <c r="T2067"/>
      <c r="U2067"/>
      <c r="V2067"/>
    </row>
    <row r="2068" spans="1:22" s="53" customFormat="1" x14ac:dyDescent="0.3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 s="1"/>
      <c r="T2068"/>
      <c r="U2068"/>
      <c r="V2068"/>
    </row>
    <row r="2069" spans="1:22" s="53" customFormat="1" x14ac:dyDescent="0.3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 s="1"/>
      <c r="T2069"/>
      <c r="U2069"/>
      <c r="V2069"/>
    </row>
    <row r="2070" spans="1:22" s="53" customFormat="1" x14ac:dyDescent="0.3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 s="1"/>
      <c r="T2070"/>
      <c r="U2070"/>
      <c r="V2070"/>
    </row>
    <row r="2071" spans="1:22" s="53" customFormat="1" x14ac:dyDescent="0.3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 s="1"/>
      <c r="T2071"/>
      <c r="U2071"/>
      <c r="V2071"/>
    </row>
    <row r="2072" spans="1:22" s="53" customFormat="1" x14ac:dyDescent="0.3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 s="1"/>
      <c r="T2072"/>
      <c r="U2072"/>
      <c r="V2072"/>
    </row>
    <row r="2073" spans="1:22" s="53" customFormat="1" x14ac:dyDescent="0.3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 s="1"/>
      <c r="T2073"/>
      <c r="U2073"/>
      <c r="V2073"/>
    </row>
    <row r="2074" spans="1:22" s="53" customFormat="1" x14ac:dyDescent="0.3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 s="1"/>
      <c r="T2074"/>
      <c r="U2074"/>
      <c r="V2074"/>
    </row>
    <row r="2075" spans="1:22" s="53" customFormat="1" x14ac:dyDescent="0.3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 s="1"/>
      <c r="T2075"/>
      <c r="U2075"/>
      <c r="V2075"/>
    </row>
    <row r="2076" spans="1:22" s="53" customFormat="1" x14ac:dyDescent="0.3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 s="1"/>
      <c r="T2076"/>
      <c r="U2076"/>
      <c r="V2076"/>
    </row>
    <row r="2077" spans="1:22" s="53" customFormat="1" x14ac:dyDescent="0.3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 s="1"/>
      <c r="T2077"/>
      <c r="U2077"/>
      <c r="V2077"/>
    </row>
    <row r="2078" spans="1:22" s="53" customFormat="1" x14ac:dyDescent="0.3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 s="1"/>
      <c r="T2078"/>
      <c r="U2078"/>
      <c r="V2078"/>
    </row>
    <row r="2079" spans="1:22" s="53" customFormat="1" x14ac:dyDescent="0.3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 s="1"/>
      <c r="T2079"/>
      <c r="U2079"/>
      <c r="V2079"/>
    </row>
    <row r="2080" spans="1:22" s="53" customFormat="1" x14ac:dyDescent="0.3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 s="1"/>
      <c r="T2080"/>
      <c r="U2080"/>
      <c r="V2080"/>
    </row>
    <row r="2081" spans="1:22" s="53" customFormat="1" x14ac:dyDescent="0.3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 s="1"/>
      <c r="T2081"/>
      <c r="U2081"/>
      <c r="V2081"/>
    </row>
    <row r="2082" spans="1:22" s="53" customFormat="1" x14ac:dyDescent="0.3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 s="1"/>
      <c r="T2082"/>
      <c r="U2082"/>
      <c r="V2082"/>
    </row>
    <row r="2083" spans="1:22" s="53" customFormat="1" x14ac:dyDescent="0.3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 s="1"/>
      <c r="T2083"/>
      <c r="U2083"/>
      <c r="V2083"/>
    </row>
    <row r="2084" spans="1:22" s="53" customFormat="1" x14ac:dyDescent="0.3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 s="1"/>
      <c r="T2084"/>
      <c r="U2084"/>
      <c r="V2084"/>
    </row>
    <row r="2085" spans="1:22" s="53" customFormat="1" x14ac:dyDescent="0.3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 s="1"/>
      <c r="T2085"/>
      <c r="U2085"/>
      <c r="V2085"/>
    </row>
    <row r="2086" spans="1:22" s="53" customFormat="1" x14ac:dyDescent="0.3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 s="1"/>
      <c r="T2086"/>
      <c r="U2086"/>
      <c r="V2086"/>
    </row>
    <row r="2087" spans="1:22" s="53" customFormat="1" x14ac:dyDescent="0.3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 s="1"/>
      <c r="T2087"/>
      <c r="U2087"/>
      <c r="V2087"/>
    </row>
    <row r="2088" spans="1:22" s="53" customFormat="1" x14ac:dyDescent="0.3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 s="1"/>
      <c r="T2088"/>
      <c r="U2088"/>
      <c r="V2088"/>
    </row>
    <row r="2089" spans="1:22" s="53" customFormat="1" x14ac:dyDescent="0.3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 s="1"/>
      <c r="T2089"/>
      <c r="U2089"/>
      <c r="V2089"/>
    </row>
    <row r="2090" spans="1:22" s="53" customFormat="1" x14ac:dyDescent="0.3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 s="1"/>
      <c r="T2090"/>
      <c r="U2090"/>
      <c r="V2090"/>
    </row>
    <row r="2091" spans="1:22" s="53" customFormat="1" x14ac:dyDescent="0.3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 s="1"/>
      <c r="T2091"/>
      <c r="U2091"/>
      <c r="V2091"/>
    </row>
    <row r="2092" spans="1:22" s="53" customFormat="1" x14ac:dyDescent="0.3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 s="1"/>
      <c r="T2092"/>
      <c r="U2092"/>
      <c r="V2092"/>
    </row>
    <row r="2093" spans="1:22" s="53" customFormat="1" x14ac:dyDescent="0.3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 s="1"/>
      <c r="T2093"/>
      <c r="U2093"/>
      <c r="V2093"/>
    </row>
    <row r="2094" spans="1:22" s="53" customFormat="1" x14ac:dyDescent="0.3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 s="1"/>
      <c r="T2094"/>
      <c r="U2094"/>
      <c r="V2094"/>
    </row>
    <row r="2095" spans="1:22" s="53" customFormat="1" x14ac:dyDescent="0.3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 s="1"/>
      <c r="T2095"/>
      <c r="U2095"/>
      <c r="V2095"/>
    </row>
    <row r="2096" spans="1:22" s="53" customFormat="1" x14ac:dyDescent="0.3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 s="1"/>
      <c r="T2096"/>
      <c r="U2096"/>
      <c r="V2096"/>
    </row>
    <row r="2097" spans="1:22" s="53" customFormat="1" x14ac:dyDescent="0.3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 s="1"/>
      <c r="T2097"/>
      <c r="U2097"/>
      <c r="V2097"/>
    </row>
    <row r="2098" spans="1:22" s="53" customFormat="1" x14ac:dyDescent="0.3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 s="1"/>
      <c r="T2098"/>
      <c r="U2098"/>
      <c r="V2098"/>
    </row>
    <row r="2099" spans="1:22" s="53" customFormat="1" x14ac:dyDescent="0.3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 s="1"/>
      <c r="T2099"/>
      <c r="U2099"/>
      <c r="V2099"/>
    </row>
    <row r="2100" spans="1:22" s="53" customFormat="1" x14ac:dyDescent="0.3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 s="1"/>
      <c r="T2100"/>
      <c r="U2100"/>
      <c r="V2100"/>
    </row>
    <row r="2101" spans="1:22" s="53" customFormat="1" x14ac:dyDescent="0.3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 s="1"/>
      <c r="T2101"/>
      <c r="U2101"/>
      <c r="V2101"/>
    </row>
    <row r="2102" spans="1:22" s="53" customFormat="1" x14ac:dyDescent="0.3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 s="1"/>
      <c r="T2102"/>
      <c r="U2102"/>
      <c r="V2102"/>
    </row>
    <row r="2103" spans="1:22" s="53" customFormat="1" x14ac:dyDescent="0.3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 s="1"/>
      <c r="T2103"/>
      <c r="U2103"/>
      <c r="V2103"/>
    </row>
    <row r="2104" spans="1:22" s="53" customFormat="1" x14ac:dyDescent="0.3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 s="1"/>
      <c r="T2104"/>
      <c r="U2104"/>
      <c r="V2104"/>
    </row>
    <row r="2105" spans="1:22" s="53" customFormat="1" x14ac:dyDescent="0.3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 s="1"/>
      <c r="T2105"/>
      <c r="U2105"/>
      <c r="V2105"/>
    </row>
    <row r="2106" spans="1:22" s="53" customFormat="1" x14ac:dyDescent="0.3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 s="1"/>
      <c r="T2106"/>
      <c r="U2106"/>
      <c r="V2106"/>
    </row>
    <row r="2107" spans="1:22" s="53" customFormat="1" x14ac:dyDescent="0.3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 s="1"/>
      <c r="T2107"/>
      <c r="U2107"/>
      <c r="V2107"/>
    </row>
    <row r="2108" spans="1:22" s="53" customFormat="1" x14ac:dyDescent="0.3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 s="1"/>
      <c r="T2108"/>
      <c r="U2108"/>
      <c r="V2108"/>
    </row>
    <row r="2109" spans="1:22" s="53" customFormat="1" x14ac:dyDescent="0.3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 s="1"/>
      <c r="T2109"/>
      <c r="U2109"/>
      <c r="V2109"/>
    </row>
    <row r="2110" spans="1:22" s="53" customFormat="1" x14ac:dyDescent="0.3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 s="1"/>
      <c r="T2110"/>
      <c r="U2110"/>
      <c r="V2110"/>
    </row>
    <row r="2111" spans="1:22" s="53" customFormat="1" x14ac:dyDescent="0.3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 s="1"/>
      <c r="T2111"/>
      <c r="U2111"/>
      <c r="V2111"/>
    </row>
    <row r="2112" spans="1:22" s="53" customFormat="1" x14ac:dyDescent="0.3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 s="1"/>
      <c r="T2112"/>
      <c r="U2112"/>
      <c r="V2112"/>
    </row>
    <row r="2113" spans="1:22" s="53" customFormat="1" x14ac:dyDescent="0.3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 s="1"/>
      <c r="T2113"/>
      <c r="U2113"/>
      <c r="V2113"/>
    </row>
    <row r="2114" spans="1:22" s="53" customFormat="1" x14ac:dyDescent="0.3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 s="1"/>
      <c r="T2114"/>
      <c r="U2114"/>
      <c r="V2114"/>
    </row>
    <row r="2115" spans="1:22" s="53" customFormat="1" x14ac:dyDescent="0.3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 s="1"/>
      <c r="T2115"/>
      <c r="U2115"/>
      <c r="V2115"/>
    </row>
    <row r="2116" spans="1:22" s="53" customFormat="1" x14ac:dyDescent="0.3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 s="1"/>
      <c r="T2116"/>
      <c r="U2116"/>
      <c r="V2116"/>
    </row>
    <row r="2117" spans="1:22" s="53" customFormat="1" x14ac:dyDescent="0.3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 s="1"/>
      <c r="T2117"/>
      <c r="U2117"/>
      <c r="V2117"/>
    </row>
    <row r="2118" spans="1:22" s="53" customFormat="1" x14ac:dyDescent="0.3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 s="1"/>
      <c r="T2118"/>
      <c r="U2118"/>
      <c r="V2118"/>
    </row>
    <row r="2119" spans="1:22" s="53" customFormat="1" x14ac:dyDescent="0.3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 s="1"/>
      <c r="T2119"/>
      <c r="U2119"/>
      <c r="V2119"/>
    </row>
    <row r="2120" spans="1:22" s="53" customFormat="1" x14ac:dyDescent="0.3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 s="1"/>
      <c r="T2120"/>
      <c r="U2120"/>
      <c r="V2120"/>
    </row>
    <row r="2121" spans="1:22" s="53" customFormat="1" x14ac:dyDescent="0.3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 s="1"/>
      <c r="T2121"/>
      <c r="U2121"/>
      <c r="V2121"/>
    </row>
    <row r="2122" spans="1:22" s="53" customFormat="1" x14ac:dyDescent="0.3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 s="1"/>
      <c r="T2122"/>
      <c r="U2122"/>
      <c r="V2122"/>
    </row>
    <row r="2123" spans="1:22" s="53" customFormat="1" x14ac:dyDescent="0.3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 s="1"/>
      <c r="T2123"/>
      <c r="U2123"/>
      <c r="V2123"/>
    </row>
    <row r="2124" spans="1:22" s="53" customFormat="1" x14ac:dyDescent="0.3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 s="1"/>
      <c r="T2124"/>
      <c r="U2124"/>
      <c r="V2124"/>
    </row>
    <row r="2125" spans="1:22" s="53" customFormat="1" x14ac:dyDescent="0.3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 s="1"/>
      <c r="T2125"/>
      <c r="U2125"/>
      <c r="V2125"/>
    </row>
    <row r="2126" spans="1:22" s="53" customFormat="1" x14ac:dyDescent="0.3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 s="1"/>
      <c r="T2126"/>
      <c r="U2126"/>
      <c r="V2126"/>
    </row>
    <row r="2127" spans="1:22" s="53" customFormat="1" x14ac:dyDescent="0.3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 s="1"/>
      <c r="T2127"/>
      <c r="U2127"/>
      <c r="V2127"/>
    </row>
    <row r="2128" spans="1:22" s="53" customFormat="1" x14ac:dyDescent="0.3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 s="1"/>
      <c r="T2128"/>
      <c r="U2128"/>
      <c r="V2128"/>
    </row>
    <row r="2129" spans="1:22" s="53" customFormat="1" x14ac:dyDescent="0.3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 s="1"/>
      <c r="T2129"/>
      <c r="U2129"/>
      <c r="V2129"/>
    </row>
    <row r="2130" spans="1:22" s="53" customFormat="1" x14ac:dyDescent="0.3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 s="1"/>
      <c r="T2130"/>
      <c r="U2130"/>
      <c r="V2130"/>
    </row>
    <row r="2131" spans="1:22" s="53" customFormat="1" x14ac:dyDescent="0.3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 s="1"/>
      <c r="T2131"/>
      <c r="U2131"/>
      <c r="V2131"/>
    </row>
    <row r="2132" spans="1:22" s="53" customFormat="1" x14ac:dyDescent="0.3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 s="1"/>
      <c r="T2132"/>
      <c r="U2132"/>
      <c r="V2132"/>
    </row>
    <row r="2133" spans="1:22" s="53" customFormat="1" x14ac:dyDescent="0.3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 s="1"/>
      <c r="T2133"/>
      <c r="U2133"/>
      <c r="V2133"/>
    </row>
    <row r="2134" spans="1:22" s="53" customFormat="1" x14ac:dyDescent="0.3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 s="1"/>
      <c r="T2134"/>
      <c r="U2134"/>
      <c r="V2134"/>
    </row>
    <row r="2135" spans="1:22" s="53" customFormat="1" x14ac:dyDescent="0.3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 s="1"/>
      <c r="T2135"/>
      <c r="U2135"/>
      <c r="V2135"/>
    </row>
    <row r="2136" spans="1:22" s="53" customFormat="1" x14ac:dyDescent="0.3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 s="1"/>
      <c r="T2136"/>
      <c r="U2136"/>
      <c r="V2136"/>
    </row>
    <row r="2137" spans="1:22" s="53" customFormat="1" x14ac:dyDescent="0.3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 s="1"/>
      <c r="T2137"/>
      <c r="U2137"/>
      <c r="V2137"/>
    </row>
    <row r="2138" spans="1:22" s="53" customFormat="1" x14ac:dyDescent="0.3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 s="1"/>
      <c r="T2138"/>
      <c r="U2138"/>
      <c r="V2138"/>
    </row>
    <row r="2139" spans="1:22" s="53" customFormat="1" x14ac:dyDescent="0.3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 s="1"/>
      <c r="T2139"/>
      <c r="U2139"/>
      <c r="V2139"/>
    </row>
    <row r="2140" spans="1:22" s="53" customFormat="1" x14ac:dyDescent="0.3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 s="1"/>
      <c r="T2140"/>
      <c r="U2140"/>
      <c r="V2140"/>
    </row>
    <row r="2141" spans="1:22" s="53" customFormat="1" x14ac:dyDescent="0.3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 s="1"/>
      <c r="T2141"/>
      <c r="U2141"/>
      <c r="V2141"/>
    </row>
    <row r="2142" spans="1:22" s="53" customFormat="1" x14ac:dyDescent="0.3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 s="1"/>
      <c r="T2142"/>
      <c r="U2142"/>
      <c r="V2142"/>
    </row>
    <row r="2143" spans="1:22" s="53" customFormat="1" x14ac:dyDescent="0.3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 s="1"/>
      <c r="T2143"/>
      <c r="U2143"/>
      <c r="V2143"/>
    </row>
    <row r="2144" spans="1:22" s="53" customFormat="1" x14ac:dyDescent="0.3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 s="1"/>
      <c r="T2144"/>
      <c r="U2144"/>
      <c r="V2144"/>
    </row>
    <row r="2145" spans="1:22" s="53" customFormat="1" x14ac:dyDescent="0.3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 s="1"/>
      <c r="T2145"/>
      <c r="U2145"/>
      <c r="V2145"/>
    </row>
    <row r="2146" spans="1:22" s="53" customFormat="1" x14ac:dyDescent="0.3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 s="1"/>
      <c r="T2146"/>
      <c r="U2146"/>
      <c r="V2146"/>
    </row>
    <row r="2147" spans="1:22" s="53" customFormat="1" x14ac:dyDescent="0.3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 s="1"/>
      <c r="T2147"/>
      <c r="U2147"/>
      <c r="V2147"/>
    </row>
    <row r="2148" spans="1:22" s="53" customFormat="1" x14ac:dyDescent="0.3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 s="1"/>
      <c r="T2148"/>
      <c r="U2148"/>
      <c r="V2148"/>
    </row>
    <row r="2149" spans="1:22" s="53" customFormat="1" x14ac:dyDescent="0.3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 s="1"/>
      <c r="T2149"/>
      <c r="U2149"/>
      <c r="V2149"/>
    </row>
    <row r="2150" spans="1:22" s="53" customFormat="1" x14ac:dyDescent="0.3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 s="1"/>
      <c r="T2150"/>
      <c r="U2150"/>
      <c r="V2150"/>
    </row>
    <row r="2151" spans="1:22" s="53" customFormat="1" x14ac:dyDescent="0.3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 s="1"/>
      <c r="T2151"/>
      <c r="U2151"/>
      <c r="V2151"/>
    </row>
    <row r="2152" spans="1:22" s="53" customFormat="1" x14ac:dyDescent="0.3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 s="1"/>
      <c r="T2152"/>
      <c r="U2152"/>
      <c r="V2152"/>
    </row>
    <row r="2153" spans="1:22" s="53" customFormat="1" x14ac:dyDescent="0.3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 s="1"/>
      <c r="T2153"/>
      <c r="U2153"/>
      <c r="V2153"/>
    </row>
    <row r="2154" spans="1:22" s="53" customFormat="1" x14ac:dyDescent="0.3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 s="1"/>
      <c r="T2154"/>
      <c r="U2154"/>
      <c r="V2154"/>
    </row>
    <row r="2155" spans="1:22" s="53" customFormat="1" x14ac:dyDescent="0.3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 s="1"/>
      <c r="T2155"/>
      <c r="U2155"/>
      <c r="V2155"/>
    </row>
    <row r="2156" spans="1:22" s="53" customFormat="1" x14ac:dyDescent="0.3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 s="1"/>
      <c r="T2156"/>
      <c r="U2156"/>
      <c r="V2156"/>
    </row>
    <row r="2157" spans="1:22" s="53" customFormat="1" x14ac:dyDescent="0.3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 s="1"/>
      <c r="T2157"/>
      <c r="U2157"/>
      <c r="V2157"/>
    </row>
    <row r="2158" spans="1:22" s="53" customFormat="1" x14ac:dyDescent="0.3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 s="1"/>
      <c r="T2158"/>
      <c r="U2158"/>
      <c r="V2158"/>
    </row>
    <row r="2159" spans="1:22" s="53" customFormat="1" x14ac:dyDescent="0.3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 s="1"/>
      <c r="T2159"/>
      <c r="U2159"/>
      <c r="V2159"/>
    </row>
    <row r="2160" spans="1:22" s="53" customFormat="1" x14ac:dyDescent="0.3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 s="1"/>
      <c r="T2160"/>
      <c r="U2160"/>
      <c r="V2160"/>
    </row>
    <row r="2161" spans="1:22" s="53" customFormat="1" x14ac:dyDescent="0.3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 s="1"/>
      <c r="T2161"/>
      <c r="U2161"/>
      <c r="V2161"/>
    </row>
    <row r="2162" spans="1:22" s="53" customFormat="1" x14ac:dyDescent="0.3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 s="1"/>
      <c r="T2162"/>
      <c r="U2162"/>
      <c r="V2162"/>
    </row>
    <row r="2163" spans="1:22" s="53" customFormat="1" x14ac:dyDescent="0.3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 s="1"/>
      <c r="T2163"/>
      <c r="U2163"/>
      <c r="V2163"/>
    </row>
    <row r="2164" spans="1:22" s="53" customFormat="1" x14ac:dyDescent="0.3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 s="1"/>
      <c r="T2164"/>
      <c r="U2164"/>
      <c r="V2164"/>
    </row>
    <row r="2165" spans="1:22" s="53" customFormat="1" x14ac:dyDescent="0.3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 s="1"/>
      <c r="T2165"/>
      <c r="U2165"/>
      <c r="V2165"/>
    </row>
    <row r="2166" spans="1:22" s="53" customFormat="1" x14ac:dyDescent="0.3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 s="1"/>
      <c r="T2166"/>
      <c r="U2166"/>
      <c r="V2166"/>
    </row>
    <row r="2167" spans="1:22" s="53" customFormat="1" x14ac:dyDescent="0.3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 s="1"/>
      <c r="T2167"/>
      <c r="U2167"/>
      <c r="V2167"/>
    </row>
    <row r="2168" spans="1:22" s="53" customFormat="1" x14ac:dyDescent="0.3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 s="1"/>
      <c r="T2168"/>
      <c r="U2168"/>
      <c r="V2168"/>
    </row>
    <row r="2169" spans="1:22" s="53" customFormat="1" x14ac:dyDescent="0.3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 s="1"/>
      <c r="T2169"/>
      <c r="U2169"/>
      <c r="V2169"/>
    </row>
    <row r="2170" spans="1:22" s="53" customFormat="1" x14ac:dyDescent="0.3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 s="1"/>
      <c r="T2170"/>
      <c r="U2170"/>
      <c r="V2170"/>
    </row>
    <row r="2171" spans="1:22" s="53" customFormat="1" x14ac:dyDescent="0.3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 s="1"/>
      <c r="T2171"/>
      <c r="U2171"/>
      <c r="V2171"/>
    </row>
    <row r="2172" spans="1:22" s="53" customFormat="1" x14ac:dyDescent="0.3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 s="1"/>
      <c r="T2172"/>
      <c r="U2172"/>
      <c r="V2172"/>
    </row>
    <row r="2173" spans="1:22" s="53" customFormat="1" x14ac:dyDescent="0.3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 s="1"/>
      <c r="T2173"/>
      <c r="U2173"/>
      <c r="V2173"/>
    </row>
    <row r="2174" spans="1:22" s="53" customFormat="1" x14ac:dyDescent="0.3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 s="1"/>
      <c r="T2174"/>
      <c r="U2174"/>
      <c r="V2174"/>
    </row>
    <row r="2175" spans="1:22" s="53" customFormat="1" x14ac:dyDescent="0.3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 s="1"/>
      <c r="T2175"/>
      <c r="U2175"/>
      <c r="V2175"/>
    </row>
    <row r="2176" spans="1:22" s="53" customFormat="1" x14ac:dyDescent="0.3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 s="1"/>
      <c r="T2176"/>
      <c r="U2176"/>
      <c r="V2176"/>
    </row>
    <row r="2177" spans="1:22" s="53" customFormat="1" x14ac:dyDescent="0.3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 s="1"/>
      <c r="T2177"/>
      <c r="U2177"/>
      <c r="V2177"/>
    </row>
    <row r="2178" spans="1:22" s="53" customFormat="1" x14ac:dyDescent="0.3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 s="1"/>
      <c r="T2178"/>
      <c r="U2178"/>
      <c r="V2178"/>
    </row>
    <row r="2179" spans="1:22" s="53" customFormat="1" x14ac:dyDescent="0.3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 s="1"/>
      <c r="T2179"/>
      <c r="U2179"/>
      <c r="V2179"/>
    </row>
    <row r="2180" spans="1:22" s="53" customFormat="1" x14ac:dyDescent="0.3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 s="1"/>
      <c r="T2180"/>
      <c r="U2180"/>
      <c r="V2180"/>
    </row>
    <row r="2181" spans="1:22" s="53" customFormat="1" x14ac:dyDescent="0.3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 s="1"/>
      <c r="T2181"/>
      <c r="U2181"/>
      <c r="V2181"/>
    </row>
    <row r="2182" spans="1:22" s="53" customFormat="1" x14ac:dyDescent="0.3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 s="1"/>
      <c r="T2182"/>
      <c r="U2182"/>
      <c r="V2182"/>
    </row>
    <row r="2183" spans="1:22" s="53" customFormat="1" x14ac:dyDescent="0.3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 s="1"/>
      <c r="T2183"/>
      <c r="U2183"/>
      <c r="V2183"/>
    </row>
    <row r="2184" spans="1:22" s="53" customFormat="1" x14ac:dyDescent="0.3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 s="1"/>
      <c r="T2184"/>
      <c r="U2184"/>
      <c r="V2184"/>
    </row>
    <row r="2185" spans="1:22" s="53" customFormat="1" x14ac:dyDescent="0.3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 s="1"/>
      <c r="T2185"/>
      <c r="U2185"/>
      <c r="V2185"/>
    </row>
    <row r="2186" spans="1:22" s="53" customFormat="1" x14ac:dyDescent="0.3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 s="1"/>
      <c r="T2186"/>
      <c r="U2186"/>
      <c r="V2186"/>
    </row>
    <row r="2187" spans="1:22" s="53" customFormat="1" x14ac:dyDescent="0.3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 s="1"/>
      <c r="T2187"/>
      <c r="U2187"/>
      <c r="V2187"/>
    </row>
    <row r="2188" spans="1:22" s="53" customFormat="1" x14ac:dyDescent="0.3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 s="1"/>
      <c r="T2188"/>
      <c r="U2188"/>
      <c r="V2188"/>
    </row>
    <row r="2189" spans="1:22" s="53" customFormat="1" x14ac:dyDescent="0.3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 s="1"/>
      <c r="T2189"/>
      <c r="U2189"/>
      <c r="V2189"/>
    </row>
    <row r="2190" spans="1:22" s="53" customFormat="1" x14ac:dyDescent="0.3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 s="1"/>
      <c r="T2190"/>
      <c r="U2190"/>
      <c r="V2190"/>
    </row>
    <row r="2191" spans="1:22" s="53" customFormat="1" x14ac:dyDescent="0.3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 s="1"/>
      <c r="T2191"/>
      <c r="U2191"/>
      <c r="V2191"/>
    </row>
    <row r="2192" spans="1:22" s="53" customFormat="1" x14ac:dyDescent="0.3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 s="1"/>
      <c r="T2192"/>
      <c r="U2192"/>
      <c r="V2192"/>
    </row>
    <row r="2193" spans="1:22" s="53" customFormat="1" x14ac:dyDescent="0.3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 s="1"/>
      <c r="T2193"/>
      <c r="U2193"/>
      <c r="V2193"/>
    </row>
    <row r="2194" spans="1:22" s="53" customFormat="1" x14ac:dyDescent="0.3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 s="1"/>
      <c r="T2194"/>
      <c r="U2194"/>
      <c r="V2194"/>
    </row>
    <row r="2195" spans="1:22" s="53" customFormat="1" x14ac:dyDescent="0.3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 s="1"/>
      <c r="T2195"/>
      <c r="U2195"/>
      <c r="V2195"/>
    </row>
    <row r="2196" spans="1:22" s="53" customFormat="1" x14ac:dyDescent="0.3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 s="1"/>
      <c r="T2196"/>
      <c r="U2196"/>
      <c r="V2196"/>
    </row>
    <row r="2197" spans="1:22" s="53" customFormat="1" x14ac:dyDescent="0.3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 s="1"/>
      <c r="T2197"/>
      <c r="U2197"/>
      <c r="V2197"/>
    </row>
    <row r="2198" spans="1:22" s="53" customFormat="1" x14ac:dyDescent="0.3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 s="1"/>
      <c r="T2198"/>
      <c r="U2198"/>
      <c r="V2198"/>
    </row>
    <row r="2199" spans="1:22" s="53" customFormat="1" x14ac:dyDescent="0.3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 s="1"/>
      <c r="T2199"/>
      <c r="U2199"/>
      <c r="V2199"/>
    </row>
    <row r="2200" spans="1:22" s="53" customFormat="1" x14ac:dyDescent="0.3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 s="1"/>
      <c r="T2200"/>
      <c r="U2200"/>
      <c r="V2200"/>
    </row>
    <row r="2201" spans="1:22" s="53" customFormat="1" x14ac:dyDescent="0.3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 s="1"/>
      <c r="T2201"/>
      <c r="U2201"/>
      <c r="V2201"/>
    </row>
    <row r="2202" spans="1:22" s="53" customFormat="1" x14ac:dyDescent="0.3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 s="1"/>
      <c r="T2202"/>
      <c r="U2202"/>
      <c r="V2202"/>
    </row>
    <row r="2203" spans="1:22" s="53" customFormat="1" x14ac:dyDescent="0.3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 s="1"/>
      <c r="T2203"/>
      <c r="U2203"/>
      <c r="V2203"/>
    </row>
    <row r="2204" spans="1:22" s="53" customFormat="1" x14ac:dyDescent="0.3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 s="1"/>
      <c r="T2204"/>
      <c r="U2204"/>
      <c r="V2204"/>
    </row>
    <row r="2205" spans="1:22" s="53" customFormat="1" x14ac:dyDescent="0.3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 s="1"/>
      <c r="T2205"/>
      <c r="U2205"/>
      <c r="V2205"/>
    </row>
    <row r="2206" spans="1:22" s="53" customFormat="1" x14ac:dyDescent="0.3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 s="1"/>
      <c r="T2206"/>
      <c r="U2206"/>
      <c r="V2206"/>
    </row>
    <row r="2207" spans="1:22" s="53" customFormat="1" x14ac:dyDescent="0.3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 s="1"/>
      <c r="T2207"/>
      <c r="U2207"/>
      <c r="V2207"/>
    </row>
    <row r="2208" spans="1:22" s="53" customFormat="1" x14ac:dyDescent="0.3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 s="1"/>
      <c r="T2208"/>
      <c r="U2208"/>
      <c r="V2208"/>
    </row>
    <row r="2209" spans="1:22" s="53" customFormat="1" x14ac:dyDescent="0.3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 s="1"/>
      <c r="T2209"/>
      <c r="U2209"/>
      <c r="V2209"/>
    </row>
    <row r="2210" spans="1:22" s="53" customFormat="1" x14ac:dyDescent="0.3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 s="1"/>
      <c r="T2210"/>
      <c r="U2210"/>
      <c r="V2210"/>
    </row>
    <row r="2211" spans="1:22" s="53" customFormat="1" x14ac:dyDescent="0.3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 s="1"/>
      <c r="T2211"/>
      <c r="U2211"/>
      <c r="V2211"/>
    </row>
    <row r="2212" spans="1:22" s="53" customFormat="1" x14ac:dyDescent="0.3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 s="1"/>
      <c r="T2212"/>
      <c r="U2212"/>
      <c r="V2212"/>
    </row>
    <row r="2213" spans="1:22" s="53" customFormat="1" x14ac:dyDescent="0.3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 s="1"/>
      <c r="T2213"/>
      <c r="U2213"/>
      <c r="V2213"/>
    </row>
    <row r="2214" spans="1:22" s="53" customFormat="1" x14ac:dyDescent="0.3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 s="1"/>
      <c r="T2214"/>
      <c r="U2214"/>
      <c r="V2214"/>
    </row>
    <row r="2215" spans="1:22" s="53" customFormat="1" x14ac:dyDescent="0.3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 s="1"/>
      <c r="T2215"/>
      <c r="U2215"/>
      <c r="V2215"/>
    </row>
    <row r="2216" spans="1:22" s="53" customFormat="1" x14ac:dyDescent="0.3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 s="1"/>
      <c r="T2216"/>
      <c r="U2216"/>
      <c r="V2216"/>
    </row>
    <row r="2217" spans="1:22" s="53" customFormat="1" x14ac:dyDescent="0.3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 s="1"/>
      <c r="T2217"/>
      <c r="U2217"/>
      <c r="V2217"/>
    </row>
    <row r="2218" spans="1:22" s="53" customFormat="1" x14ac:dyDescent="0.3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 s="1"/>
      <c r="T2218"/>
      <c r="U2218"/>
      <c r="V2218"/>
    </row>
    <row r="2219" spans="1:22" s="53" customFormat="1" x14ac:dyDescent="0.3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 s="1"/>
      <c r="T2219"/>
      <c r="U2219"/>
      <c r="V2219"/>
    </row>
    <row r="2220" spans="1:22" s="53" customFormat="1" x14ac:dyDescent="0.3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 s="1"/>
      <c r="T2220"/>
      <c r="U2220"/>
      <c r="V2220"/>
    </row>
    <row r="2221" spans="1:22" s="53" customFormat="1" x14ac:dyDescent="0.3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 s="1"/>
      <c r="T2221"/>
      <c r="U2221"/>
      <c r="V2221"/>
    </row>
    <row r="2222" spans="1:22" s="53" customFormat="1" x14ac:dyDescent="0.3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 s="1"/>
      <c r="T2222"/>
      <c r="U2222"/>
      <c r="V2222"/>
    </row>
    <row r="2223" spans="1:22" s="53" customFormat="1" x14ac:dyDescent="0.3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 s="1"/>
      <c r="T2223"/>
      <c r="U2223"/>
      <c r="V2223"/>
    </row>
    <row r="2224" spans="1:22" s="53" customFormat="1" x14ac:dyDescent="0.3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 s="1"/>
      <c r="T2224"/>
      <c r="U2224"/>
      <c r="V2224"/>
    </row>
    <row r="2225" spans="1:22" s="53" customFormat="1" x14ac:dyDescent="0.3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 s="1"/>
      <c r="T2225"/>
      <c r="U2225"/>
      <c r="V2225"/>
    </row>
    <row r="2226" spans="1:22" s="53" customFormat="1" x14ac:dyDescent="0.3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 s="1"/>
      <c r="T2226"/>
      <c r="U2226"/>
      <c r="V2226"/>
    </row>
    <row r="2227" spans="1:22" s="53" customFormat="1" x14ac:dyDescent="0.3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 s="1"/>
      <c r="T2227"/>
      <c r="U2227"/>
      <c r="V2227"/>
    </row>
    <row r="2228" spans="1:22" s="53" customFormat="1" x14ac:dyDescent="0.3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 s="1"/>
      <c r="T2228"/>
      <c r="U2228"/>
      <c r="V2228"/>
    </row>
    <row r="2229" spans="1:22" s="53" customFormat="1" x14ac:dyDescent="0.3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 s="1"/>
      <c r="T2229"/>
      <c r="U2229"/>
      <c r="V2229"/>
    </row>
    <row r="2230" spans="1:22" s="53" customFormat="1" x14ac:dyDescent="0.3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 s="1"/>
      <c r="T2230"/>
      <c r="U2230"/>
      <c r="V2230"/>
    </row>
    <row r="2231" spans="1:22" s="53" customFormat="1" x14ac:dyDescent="0.3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 s="1"/>
      <c r="T2231"/>
      <c r="U2231"/>
      <c r="V2231"/>
    </row>
    <row r="2232" spans="1:22" s="53" customFormat="1" x14ac:dyDescent="0.3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 s="1"/>
      <c r="T2232"/>
      <c r="U2232"/>
      <c r="V2232"/>
    </row>
    <row r="2233" spans="1:22" s="53" customFormat="1" x14ac:dyDescent="0.3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 s="1"/>
      <c r="T2233"/>
      <c r="U2233"/>
      <c r="V2233"/>
    </row>
    <row r="2234" spans="1:22" s="53" customFormat="1" x14ac:dyDescent="0.3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 s="1"/>
      <c r="T2234"/>
      <c r="U2234"/>
      <c r="V2234"/>
    </row>
    <row r="2235" spans="1:22" s="53" customFormat="1" x14ac:dyDescent="0.3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 s="1"/>
      <c r="T2235"/>
      <c r="U2235"/>
      <c r="V2235"/>
    </row>
    <row r="2236" spans="1:22" s="53" customFormat="1" x14ac:dyDescent="0.3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 s="1"/>
      <c r="T2236"/>
      <c r="U2236"/>
      <c r="V2236"/>
    </row>
    <row r="2237" spans="1:22" s="53" customFormat="1" x14ac:dyDescent="0.3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 s="1"/>
      <c r="T2237"/>
      <c r="U2237"/>
      <c r="V2237"/>
    </row>
    <row r="2238" spans="1:22" s="53" customFormat="1" x14ac:dyDescent="0.3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 s="1"/>
      <c r="T2238"/>
      <c r="U2238"/>
      <c r="V2238"/>
    </row>
    <row r="2239" spans="1:22" s="53" customFormat="1" x14ac:dyDescent="0.3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 s="1"/>
      <c r="T2239"/>
      <c r="U2239"/>
      <c r="V2239"/>
    </row>
    <row r="2240" spans="1:22" s="53" customFormat="1" x14ac:dyDescent="0.3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 s="1"/>
      <c r="T2240"/>
      <c r="U2240"/>
      <c r="V2240"/>
    </row>
    <row r="2241" spans="1:22" s="53" customFormat="1" x14ac:dyDescent="0.3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 s="1"/>
      <c r="T2241"/>
      <c r="U2241"/>
      <c r="V2241"/>
    </row>
    <row r="2242" spans="1:22" s="53" customFormat="1" x14ac:dyDescent="0.3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 s="1"/>
      <c r="T2242"/>
      <c r="U2242"/>
      <c r="V2242"/>
    </row>
    <row r="2243" spans="1:22" s="53" customFormat="1" x14ac:dyDescent="0.3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 s="1"/>
      <c r="T2243"/>
      <c r="U2243"/>
      <c r="V2243"/>
    </row>
    <row r="2244" spans="1:22" s="53" customFormat="1" x14ac:dyDescent="0.3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 s="1"/>
      <c r="T2244"/>
      <c r="U2244"/>
      <c r="V2244"/>
    </row>
    <row r="2245" spans="1:22" s="53" customFormat="1" x14ac:dyDescent="0.3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 s="1"/>
      <c r="T2245"/>
      <c r="U2245"/>
      <c r="V2245"/>
    </row>
    <row r="2246" spans="1:22" s="53" customFormat="1" x14ac:dyDescent="0.3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 s="1"/>
      <c r="T2246"/>
      <c r="U2246"/>
      <c r="V2246"/>
    </row>
    <row r="2247" spans="1:22" s="53" customFormat="1" x14ac:dyDescent="0.3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 s="1"/>
      <c r="T2247"/>
      <c r="U2247"/>
      <c r="V2247"/>
    </row>
    <row r="2248" spans="1:22" s="53" customFormat="1" x14ac:dyDescent="0.3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 s="1"/>
      <c r="T2248"/>
      <c r="U2248"/>
      <c r="V2248"/>
    </row>
    <row r="2249" spans="1:22" s="53" customFormat="1" x14ac:dyDescent="0.3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 s="1"/>
      <c r="T2249"/>
      <c r="U2249"/>
      <c r="V2249"/>
    </row>
    <row r="2250" spans="1:22" s="53" customFormat="1" x14ac:dyDescent="0.3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 s="1"/>
      <c r="T2250"/>
      <c r="U2250"/>
      <c r="V2250"/>
    </row>
    <row r="2251" spans="1:22" s="53" customFormat="1" x14ac:dyDescent="0.3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 s="1"/>
      <c r="T2251"/>
      <c r="U2251"/>
      <c r="V2251"/>
    </row>
    <row r="2252" spans="1:22" s="53" customFormat="1" x14ac:dyDescent="0.3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 s="1"/>
      <c r="T2252"/>
      <c r="U2252"/>
      <c r="V2252"/>
    </row>
    <row r="2253" spans="1:22" s="53" customFormat="1" x14ac:dyDescent="0.3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 s="1"/>
      <c r="T2253"/>
      <c r="U2253"/>
      <c r="V2253"/>
    </row>
    <row r="2254" spans="1:22" s="53" customFormat="1" x14ac:dyDescent="0.3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 s="1"/>
      <c r="T2254"/>
      <c r="U2254"/>
      <c r="V2254"/>
    </row>
    <row r="2255" spans="1:22" s="53" customFormat="1" x14ac:dyDescent="0.3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 s="1"/>
      <c r="T2255"/>
      <c r="U2255"/>
      <c r="V2255"/>
    </row>
    <row r="2256" spans="1:22" s="53" customFormat="1" x14ac:dyDescent="0.3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 s="1"/>
      <c r="T2256"/>
      <c r="U2256"/>
      <c r="V2256"/>
    </row>
    <row r="2257" spans="1:22" s="53" customFormat="1" x14ac:dyDescent="0.3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 s="1"/>
      <c r="T2257"/>
      <c r="U2257"/>
      <c r="V2257"/>
    </row>
    <row r="2258" spans="1:22" s="53" customFormat="1" x14ac:dyDescent="0.3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 s="1"/>
      <c r="T2258"/>
      <c r="U2258"/>
      <c r="V2258"/>
    </row>
    <row r="2259" spans="1:22" s="53" customFormat="1" x14ac:dyDescent="0.3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 s="1"/>
      <c r="T2259"/>
      <c r="U2259"/>
      <c r="V2259"/>
    </row>
    <row r="2260" spans="1:22" s="53" customFormat="1" x14ac:dyDescent="0.3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 s="1"/>
      <c r="T2260"/>
      <c r="U2260"/>
      <c r="V2260"/>
    </row>
    <row r="2261" spans="1:22" s="53" customFormat="1" x14ac:dyDescent="0.3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 s="1"/>
      <c r="T2261"/>
      <c r="U2261"/>
      <c r="V2261"/>
    </row>
    <row r="2262" spans="1:22" s="53" customFormat="1" x14ac:dyDescent="0.3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 s="1"/>
      <c r="T2262"/>
      <c r="U2262"/>
      <c r="V2262"/>
    </row>
    <row r="2263" spans="1:22" s="53" customFormat="1" x14ac:dyDescent="0.3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 s="1"/>
      <c r="T2263"/>
      <c r="U2263"/>
      <c r="V2263"/>
    </row>
    <row r="2264" spans="1:22" s="53" customFormat="1" x14ac:dyDescent="0.3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 s="1"/>
      <c r="T2264"/>
      <c r="U2264"/>
      <c r="V2264"/>
    </row>
    <row r="2265" spans="1:22" s="53" customFormat="1" x14ac:dyDescent="0.3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 s="1"/>
      <c r="T2265"/>
      <c r="U2265"/>
      <c r="V2265"/>
    </row>
    <row r="2266" spans="1:22" s="53" customFormat="1" x14ac:dyDescent="0.3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 s="1"/>
      <c r="T2266"/>
      <c r="U2266"/>
      <c r="V2266"/>
    </row>
    <row r="2267" spans="1:22" s="53" customFormat="1" x14ac:dyDescent="0.3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 s="1"/>
      <c r="T2267"/>
      <c r="U2267"/>
      <c r="V2267"/>
    </row>
    <row r="2268" spans="1:22" s="53" customFormat="1" x14ac:dyDescent="0.3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 s="1"/>
      <c r="T2268"/>
      <c r="U2268"/>
      <c r="V2268"/>
    </row>
    <row r="2269" spans="1:22" s="53" customFormat="1" x14ac:dyDescent="0.3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 s="1"/>
      <c r="T2269"/>
      <c r="U2269"/>
      <c r="V2269"/>
    </row>
    <row r="2270" spans="1:22" s="53" customFormat="1" x14ac:dyDescent="0.3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 s="1"/>
      <c r="T2270"/>
      <c r="U2270"/>
      <c r="V2270"/>
    </row>
    <row r="2271" spans="1:22" s="53" customFormat="1" x14ac:dyDescent="0.3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 s="1"/>
      <c r="T2271"/>
      <c r="U2271"/>
      <c r="V2271"/>
    </row>
    <row r="2272" spans="1:22" s="53" customFormat="1" x14ac:dyDescent="0.3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 s="1"/>
      <c r="T2272"/>
      <c r="U2272"/>
      <c r="V2272"/>
    </row>
    <row r="2273" spans="1:22" s="53" customFormat="1" x14ac:dyDescent="0.3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 s="1"/>
      <c r="T2273"/>
      <c r="U2273"/>
      <c r="V2273"/>
    </row>
    <row r="2274" spans="1:22" s="53" customFormat="1" x14ac:dyDescent="0.3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 s="1"/>
      <c r="T2274"/>
      <c r="U2274"/>
      <c r="V2274"/>
    </row>
    <row r="2275" spans="1:22" s="53" customFormat="1" x14ac:dyDescent="0.3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 s="1"/>
      <c r="T2275"/>
      <c r="U2275"/>
      <c r="V2275"/>
    </row>
    <row r="2276" spans="1:22" s="53" customFormat="1" x14ac:dyDescent="0.3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 s="1"/>
      <c r="T2276"/>
      <c r="U2276"/>
      <c r="V2276"/>
    </row>
    <row r="2277" spans="1:22" s="53" customFormat="1" x14ac:dyDescent="0.3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 s="1"/>
      <c r="T2277"/>
      <c r="U2277"/>
      <c r="V2277"/>
    </row>
    <row r="2278" spans="1:22" s="53" customFormat="1" x14ac:dyDescent="0.3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 s="1"/>
      <c r="T2278"/>
      <c r="U2278"/>
      <c r="V2278"/>
    </row>
    <row r="2279" spans="1:22" s="53" customFormat="1" x14ac:dyDescent="0.3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 s="1"/>
      <c r="T2279"/>
      <c r="U2279"/>
      <c r="V2279"/>
    </row>
    <row r="2280" spans="1:22" s="53" customFormat="1" x14ac:dyDescent="0.3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 s="1"/>
      <c r="T2280"/>
      <c r="U2280"/>
      <c r="V2280"/>
    </row>
    <row r="2281" spans="1:22" s="53" customFormat="1" x14ac:dyDescent="0.3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 s="1"/>
      <c r="T2281"/>
      <c r="U2281"/>
      <c r="V2281"/>
    </row>
    <row r="2282" spans="1:22" s="53" customFormat="1" x14ac:dyDescent="0.3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 s="1"/>
      <c r="T2282"/>
      <c r="U2282"/>
      <c r="V2282"/>
    </row>
    <row r="2283" spans="1:22" s="53" customFormat="1" x14ac:dyDescent="0.3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 s="1"/>
      <c r="T2283"/>
      <c r="U2283"/>
      <c r="V2283"/>
    </row>
    <row r="2284" spans="1:22" s="53" customFormat="1" x14ac:dyDescent="0.3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 s="1"/>
      <c r="T2284"/>
      <c r="U2284"/>
      <c r="V2284"/>
    </row>
    <row r="2285" spans="1:22" s="53" customFormat="1" x14ac:dyDescent="0.3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 s="1"/>
      <c r="T2285"/>
      <c r="U2285"/>
      <c r="V2285"/>
    </row>
    <row r="2286" spans="1:22" s="53" customFormat="1" x14ac:dyDescent="0.3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 s="1"/>
      <c r="T2286"/>
      <c r="U2286"/>
      <c r="V2286"/>
    </row>
    <row r="2287" spans="1:22" s="53" customFormat="1" x14ac:dyDescent="0.3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 s="1"/>
      <c r="T2287"/>
      <c r="U2287"/>
      <c r="V2287"/>
    </row>
    <row r="2288" spans="1:22" s="53" customFormat="1" x14ac:dyDescent="0.3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 s="1"/>
      <c r="T2288"/>
      <c r="U2288"/>
      <c r="V2288"/>
    </row>
    <row r="2289" spans="1:22" s="53" customFormat="1" x14ac:dyDescent="0.3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 s="1"/>
      <c r="T2289"/>
      <c r="U2289"/>
      <c r="V2289"/>
    </row>
    <row r="2290" spans="1:22" s="53" customFormat="1" x14ac:dyDescent="0.3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 s="1"/>
      <c r="T2290"/>
      <c r="U2290"/>
      <c r="V2290"/>
    </row>
    <row r="2291" spans="1:22" s="53" customFormat="1" x14ac:dyDescent="0.3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 s="1"/>
      <c r="T2291"/>
      <c r="U2291"/>
      <c r="V2291"/>
    </row>
    <row r="2292" spans="1:22" s="53" customFormat="1" x14ac:dyDescent="0.3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 s="1"/>
      <c r="T2292"/>
      <c r="U2292"/>
      <c r="V2292"/>
    </row>
    <row r="2293" spans="1:22" s="53" customFormat="1" x14ac:dyDescent="0.3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 s="1"/>
      <c r="T2293"/>
      <c r="U2293"/>
      <c r="V2293"/>
    </row>
    <row r="2294" spans="1:22" s="53" customFormat="1" x14ac:dyDescent="0.3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 s="1"/>
      <c r="T2294"/>
      <c r="U2294"/>
      <c r="V2294"/>
    </row>
    <row r="2295" spans="1:22" s="53" customFormat="1" x14ac:dyDescent="0.3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 s="1"/>
      <c r="T2295"/>
      <c r="U2295"/>
      <c r="V2295"/>
    </row>
    <row r="2296" spans="1:22" s="53" customFormat="1" x14ac:dyDescent="0.3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 s="1"/>
      <c r="T2296"/>
      <c r="U2296"/>
      <c r="V2296"/>
    </row>
    <row r="2297" spans="1:22" s="53" customFormat="1" x14ac:dyDescent="0.3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 s="1"/>
      <c r="T2297"/>
      <c r="U2297"/>
      <c r="V2297"/>
    </row>
    <row r="2298" spans="1:22" s="53" customFormat="1" x14ac:dyDescent="0.3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 s="1"/>
      <c r="T2298"/>
      <c r="U2298"/>
      <c r="V2298"/>
    </row>
    <row r="2299" spans="1:22" s="53" customFormat="1" x14ac:dyDescent="0.3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 s="1"/>
      <c r="T2299"/>
      <c r="U2299"/>
      <c r="V2299"/>
    </row>
    <row r="2300" spans="1:22" s="53" customFormat="1" x14ac:dyDescent="0.3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 s="1"/>
      <c r="T2300"/>
      <c r="U2300"/>
      <c r="V2300"/>
    </row>
    <row r="2301" spans="1:22" s="53" customFormat="1" x14ac:dyDescent="0.3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 s="1"/>
      <c r="T2301"/>
      <c r="U2301"/>
      <c r="V2301"/>
    </row>
    <row r="2302" spans="1:22" s="53" customFormat="1" x14ac:dyDescent="0.3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 s="1"/>
      <c r="T2302"/>
      <c r="U2302"/>
      <c r="V2302"/>
    </row>
    <row r="2303" spans="1:22" s="53" customFormat="1" x14ac:dyDescent="0.3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 s="1"/>
      <c r="T2303"/>
      <c r="U2303"/>
      <c r="V2303"/>
    </row>
    <row r="2304" spans="1:22" s="53" customFormat="1" x14ac:dyDescent="0.3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 s="1"/>
      <c r="T2304"/>
      <c r="U2304"/>
      <c r="V2304"/>
    </row>
    <row r="2305" spans="1:22" s="53" customFormat="1" x14ac:dyDescent="0.3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 s="1"/>
      <c r="T2305"/>
      <c r="U2305"/>
      <c r="V2305"/>
    </row>
    <row r="2306" spans="1:22" s="53" customFormat="1" x14ac:dyDescent="0.3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 s="1"/>
      <c r="T2306"/>
      <c r="U2306"/>
      <c r="V2306"/>
    </row>
    <row r="2307" spans="1:22" s="53" customFormat="1" x14ac:dyDescent="0.3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 s="1"/>
      <c r="T2307"/>
      <c r="U2307"/>
      <c r="V2307"/>
    </row>
    <row r="2308" spans="1:22" s="53" customFormat="1" x14ac:dyDescent="0.3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 s="1"/>
      <c r="T2308"/>
      <c r="U2308"/>
      <c r="V2308"/>
    </row>
    <row r="2309" spans="1:22" s="53" customFormat="1" x14ac:dyDescent="0.3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 s="1"/>
      <c r="T2309"/>
      <c r="U2309"/>
      <c r="V2309"/>
    </row>
    <row r="2310" spans="1:22" s="53" customFormat="1" x14ac:dyDescent="0.3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 s="1"/>
      <c r="T2310"/>
      <c r="U2310"/>
      <c r="V2310"/>
    </row>
    <row r="2311" spans="1:22" s="53" customFormat="1" x14ac:dyDescent="0.3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 s="1"/>
      <c r="T2311"/>
      <c r="U2311"/>
      <c r="V2311"/>
    </row>
    <row r="2312" spans="1:22" s="53" customFormat="1" x14ac:dyDescent="0.3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 s="1"/>
      <c r="T2312"/>
      <c r="U2312"/>
      <c r="V2312"/>
    </row>
    <row r="2313" spans="1:22" s="53" customFormat="1" x14ac:dyDescent="0.3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 s="1"/>
      <c r="T2313"/>
      <c r="U2313"/>
      <c r="V2313"/>
    </row>
    <row r="2314" spans="1:22" s="53" customFormat="1" x14ac:dyDescent="0.3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 s="1"/>
      <c r="T2314"/>
      <c r="U2314"/>
      <c r="V2314"/>
    </row>
    <row r="2315" spans="1:22" s="53" customFormat="1" x14ac:dyDescent="0.3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 s="1"/>
      <c r="T2315"/>
      <c r="U2315"/>
      <c r="V2315"/>
    </row>
    <row r="2316" spans="1:22" s="53" customFormat="1" x14ac:dyDescent="0.3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 s="1"/>
      <c r="T2316"/>
      <c r="U2316"/>
      <c r="V2316"/>
    </row>
    <row r="2317" spans="1:22" s="53" customFormat="1" x14ac:dyDescent="0.3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 s="1"/>
      <c r="T2317"/>
      <c r="U2317"/>
      <c r="V2317"/>
    </row>
    <row r="2318" spans="1:22" s="53" customFormat="1" x14ac:dyDescent="0.3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 s="1"/>
      <c r="T2318"/>
      <c r="U2318"/>
      <c r="V2318"/>
    </row>
    <row r="2319" spans="1:22" s="53" customFormat="1" x14ac:dyDescent="0.3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 s="1"/>
      <c r="T2319"/>
      <c r="U2319"/>
      <c r="V2319"/>
    </row>
    <row r="2320" spans="1:22" s="53" customFormat="1" x14ac:dyDescent="0.3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 s="1"/>
      <c r="T2320"/>
      <c r="U2320"/>
      <c r="V2320"/>
    </row>
    <row r="2321" spans="1:22" s="53" customFormat="1" x14ac:dyDescent="0.3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 s="1"/>
      <c r="T2321"/>
      <c r="U2321"/>
      <c r="V2321"/>
    </row>
    <row r="2322" spans="1:22" s="53" customFormat="1" x14ac:dyDescent="0.3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 s="1"/>
      <c r="T2322"/>
      <c r="U2322"/>
      <c r="V2322"/>
    </row>
    <row r="2323" spans="1:22" s="53" customFormat="1" x14ac:dyDescent="0.3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 s="1"/>
      <c r="T2323"/>
      <c r="U2323"/>
      <c r="V2323"/>
    </row>
    <row r="2324" spans="1:22" s="53" customFormat="1" x14ac:dyDescent="0.3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 s="1"/>
      <c r="T2324"/>
      <c r="U2324"/>
      <c r="V2324"/>
    </row>
    <row r="2325" spans="1:22" s="53" customFormat="1" x14ac:dyDescent="0.3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 s="1"/>
      <c r="T2325"/>
      <c r="U2325"/>
      <c r="V2325"/>
    </row>
    <row r="2326" spans="1:22" s="53" customFormat="1" x14ac:dyDescent="0.3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 s="1"/>
      <c r="T2326"/>
      <c r="U2326"/>
      <c r="V2326"/>
    </row>
    <row r="2327" spans="1:22" s="53" customFormat="1" x14ac:dyDescent="0.3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 s="1"/>
      <c r="T2327"/>
      <c r="U2327"/>
      <c r="V2327"/>
    </row>
    <row r="2328" spans="1:22" s="53" customFormat="1" x14ac:dyDescent="0.3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 s="1"/>
      <c r="T2328"/>
      <c r="U2328"/>
      <c r="V2328"/>
    </row>
    <row r="2329" spans="1:22" s="53" customFormat="1" x14ac:dyDescent="0.3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 s="1"/>
      <c r="T2329"/>
      <c r="U2329"/>
      <c r="V2329"/>
    </row>
    <row r="2330" spans="1:22" s="53" customFormat="1" x14ac:dyDescent="0.3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 s="1"/>
      <c r="T2330"/>
      <c r="U2330"/>
      <c r="V2330"/>
    </row>
    <row r="2331" spans="1:22" s="53" customFormat="1" x14ac:dyDescent="0.3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 s="1"/>
      <c r="T2331"/>
      <c r="U2331"/>
      <c r="V2331"/>
    </row>
    <row r="2332" spans="1:22" s="53" customFormat="1" x14ac:dyDescent="0.3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 s="1"/>
      <c r="T2332"/>
      <c r="U2332"/>
      <c r="V2332"/>
    </row>
    <row r="2333" spans="1:22" s="53" customFormat="1" x14ac:dyDescent="0.3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 s="1"/>
      <c r="T2333"/>
      <c r="U2333"/>
      <c r="V2333"/>
    </row>
    <row r="2334" spans="1:22" s="53" customFormat="1" x14ac:dyDescent="0.3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 s="1"/>
      <c r="T2334"/>
      <c r="U2334"/>
      <c r="V2334"/>
    </row>
    <row r="2335" spans="1:22" s="53" customFormat="1" x14ac:dyDescent="0.3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 s="1"/>
      <c r="T2335"/>
      <c r="U2335"/>
      <c r="V2335"/>
    </row>
    <row r="2336" spans="1:22" s="53" customFormat="1" x14ac:dyDescent="0.3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 s="1"/>
      <c r="T2336"/>
      <c r="U2336"/>
      <c r="V2336"/>
    </row>
    <row r="2337" spans="1:22" s="53" customFormat="1" x14ac:dyDescent="0.3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 s="1"/>
      <c r="T2337"/>
      <c r="U2337"/>
      <c r="V2337"/>
    </row>
    <row r="2338" spans="1:22" s="53" customFormat="1" x14ac:dyDescent="0.3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 s="1"/>
      <c r="T2338"/>
      <c r="U2338"/>
      <c r="V2338"/>
    </row>
    <row r="2339" spans="1:22" s="53" customFormat="1" x14ac:dyDescent="0.3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 s="1"/>
      <c r="T2339"/>
      <c r="U2339"/>
      <c r="V2339"/>
    </row>
    <row r="2340" spans="1:22" s="53" customFormat="1" x14ac:dyDescent="0.3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 s="1"/>
      <c r="T2340"/>
      <c r="U2340"/>
      <c r="V2340"/>
    </row>
    <row r="2341" spans="1:22" s="53" customFormat="1" x14ac:dyDescent="0.3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 s="1"/>
      <c r="T2341"/>
      <c r="U2341"/>
      <c r="V2341"/>
    </row>
    <row r="2342" spans="1:22" s="53" customFormat="1" x14ac:dyDescent="0.3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 s="1"/>
      <c r="T2342"/>
      <c r="U2342"/>
      <c r="V2342"/>
    </row>
    <row r="2343" spans="1:22" s="53" customFormat="1" x14ac:dyDescent="0.3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 s="1"/>
      <c r="T2343"/>
      <c r="U2343"/>
      <c r="V2343"/>
    </row>
    <row r="2344" spans="1:22" s="53" customFormat="1" x14ac:dyDescent="0.3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 s="1"/>
      <c r="T2344"/>
      <c r="U2344"/>
      <c r="V2344"/>
    </row>
    <row r="2345" spans="1:22" s="53" customFormat="1" x14ac:dyDescent="0.3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 s="1"/>
      <c r="T2345"/>
      <c r="U2345"/>
      <c r="V2345"/>
    </row>
    <row r="2346" spans="1:22" s="53" customFormat="1" x14ac:dyDescent="0.3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 s="1"/>
      <c r="T2346"/>
      <c r="U2346"/>
      <c r="V2346"/>
    </row>
    <row r="2347" spans="1:22" s="53" customFormat="1" x14ac:dyDescent="0.3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 s="1"/>
      <c r="T2347"/>
      <c r="U2347"/>
      <c r="V2347"/>
    </row>
    <row r="2348" spans="1:22" s="53" customFormat="1" x14ac:dyDescent="0.3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 s="1"/>
      <c r="T2348"/>
      <c r="U2348"/>
      <c r="V2348"/>
    </row>
    <row r="2349" spans="1:22" s="53" customFormat="1" x14ac:dyDescent="0.3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 s="1"/>
      <c r="T2349"/>
      <c r="U2349"/>
      <c r="V2349"/>
    </row>
    <row r="2350" spans="1:22" s="53" customFormat="1" x14ac:dyDescent="0.3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 s="1"/>
      <c r="T2350"/>
      <c r="U2350"/>
      <c r="V2350"/>
    </row>
    <row r="2351" spans="1:22" s="53" customFormat="1" x14ac:dyDescent="0.3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 s="1"/>
      <c r="T2351"/>
      <c r="U2351"/>
      <c r="V2351"/>
    </row>
    <row r="2352" spans="1:22" s="53" customFormat="1" x14ac:dyDescent="0.3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 s="1"/>
      <c r="T2352"/>
      <c r="U2352"/>
      <c r="V2352"/>
    </row>
    <row r="2353" spans="1:22" s="53" customFormat="1" x14ac:dyDescent="0.3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 s="1"/>
      <c r="T2353"/>
      <c r="U2353"/>
      <c r="V2353"/>
    </row>
    <row r="2354" spans="1:22" s="53" customFormat="1" x14ac:dyDescent="0.3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 s="1"/>
      <c r="T2354"/>
      <c r="U2354"/>
      <c r="V2354"/>
    </row>
    <row r="2355" spans="1:22" s="53" customFormat="1" x14ac:dyDescent="0.3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 s="1"/>
      <c r="T2355"/>
      <c r="U2355"/>
      <c r="V2355"/>
    </row>
    <row r="2356" spans="1:22" s="53" customFormat="1" x14ac:dyDescent="0.3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 s="1"/>
      <c r="T2356"/>
      <c r="U2356"/>
      <c r="V2356"/>
    </row>
    <row r="2357" spans="1:22" s="53" customFormat="1" x14ac:dyDescent="0.3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 s="1"/>
      <c r="T2357"/>
      <c r="U2357"/>
      <c r="V2357"/>
    </row>
    <row r="2358" spans="1:22" s="53" customFormat="1" x14ac:dyDescent="0.3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 s="1"/>
      <c r="T2358"/>
      <c r="U2358"/>
      <c r="V2358"/>
    </row>
    <row r="2359" spans="1:22" s="53" customFormat="1" x14ac:dyDescent="0.3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 s="1"/>
      <c r="T2359"/>
      <c r="U2359"/>
      <c r="V2359"/>
    </row>
    <row r="2360" spans="1:22" s="53" customFormat="1" x14ac:dyDescent="0.3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 s="1"/>
      <c r="T2360"/>
      <c r="U2360"/>
      <c r="V2360"/>
    </row>
    <row r="2361" spans="1:22" s="53" customFormat="1" x14ac:dyDescent="0.3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 s="1"/>
      <c r="T2361"/>
      <c r="U2361"/>
      <c r="V2361"/>
    </row>
    <row r="2362" spans="1:22" s="53" customFormat="1" x14ac:dyDescent="0.3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 s="1"/>
      <c r="T2362"/>
      <c r="U2362"/>
      <c r="V2362"/>
    </row>
    <row r="2363" spans="1:22" s="53" customFormat="1" x14ac:dyDescent="0.3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 s="1"/>
      <c r="T2363"/>
      <c r="U2363"/>
      <c r="V2363"/>
    </row>
    <row r="2364" spans="1:22" s="53" customFormat="1" x14ac:dyDescent="0.3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 s="1"/>
      <c r="T2364"/>
      <c r="U2364"/>
      <c r="V2364"/>
    </row>
    <row r="2365" spans="1:22" s="53" customFormat="1" x14ac:dyDescent="0.3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 s="1"/>
      <c r="T2365"/>
      <c r="U2365"/>
      <c r="V2365"/>
    </row>
    <row r="2366" spans="1:22" s="53" customFormat="1" x14ac:dyDescent="0.3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 s="1"/>
      <c r="T2366"/>
      <c r="U2366"/>
      <c r="V2366"/>
    </row>
    <row r="2367" spans="1:22" s="53" customFormat="1" x14ac:dyDescent="0.3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 s="1"/>
      <c r="T2367"/>
      <c r="U2367"/>
      <c r="V2367"/>
    </row>
    <row r="2368" spans="1:22" s="53" customFormat="1" x14ac:dyDescent="0.3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 s="1"/>
      <c r="T2368"/>
      <c r="U2368"/>
      <c r="V2368"/>
    </row>
    <row r="2369" spans="1:22" s="53" customFormat="1" x14ac:dyDescent="0.3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 s="1"/>
      <c r="T2369"/>
      <c r="U2369"/>
      <c r="V2369"/>
    </row>
    <row r="2370" spans="1:22" s="53" customFormat="1" x14ac:dyDescent="0.3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 s="1"/>
      <c r="T2370"/>
      <c r="U2370"/>
      <c r="V2370"/>
    </row>
    <row r="2371" spans="1:22" s="53" customFormat="1" x14ac:dyDescent="0.3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 s="1"/>
      <c r="T2371"/>
      <c r="U2371"/>
      <c r="V2371"/>
    </row>
    <row r="2372" spans="1:22" s="53" customFormat="1" x14ac:dyDescent="0.3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 s="1"/>
      <c r="T2372"/>
      <c r="U2372"/>
      <c r="V2372"/>
    </row>
    <row r="2373" spans="1:22" s="53" customFormat="1" x14ac:dyDescent="0.3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 s="1"/>
      <c r="T2373"/>
      <c r="U2373"/>
      <c r="V2373"/>
    </row>
    <row r="2374" spans="1:22" s="53" customFormat="1" x14ac:dyDescent="0.3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 s="1"/>
      <c r="T2374"/>
      <c r="U2374"/>
      <c r="V2374"/>
    </row>
    <row r="2375" spans="1:22" s="53" customFormat="1" x14ac:dyDescent="0.3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 s="1"/>
      <c r="T2375"/>
      <c r="U2375"/>
      <c r="V2375"/>
    </row>
    <row r="2376" spans="1:22" s="53" customFormat="1" x14ac:dyDescent="0.3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 s="1"/>
      <c r="T2376"/>
      <c r="U2376"/>
      <c r="V2376"/>
    </row>
    <row r="2377" spans="1:22" s="53" customFormat="1" x14ac:dyDescent="0.3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 s="1"/>
      <c r="T2377"/>
      <c r="U2377"/>
      <c r="V2377"/>
    </row>
    <row r="2378" spans="1:22" s="53" customFormat="1" x14ac:dyDescent="0.3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 s="1"/>
      <c r="T2378"/>
      <c r="U2378"/>
      <c r="V2378"/>
    </row>
    <row r="2379" spans="1:22" s="53" customFormat="1" x14ac:dyDescent="0.3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 s="1"/>
      <c r="T2379"/>
      <c r="U2379"/>
      <c r="V2379"/>
    </row>
    <row r="2380" spans="1:22" s="53" customFormat="1" x14ac:dyDescent="0.3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 s="1"/>
      <c r="T2380"/>
      <c r="U2380"/>
      <c r="V2380"/>
    </row>
    <row r="2381" spans="1:22" s="53" customFormat="1" x14ac:dyDescent="0.3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 s="1"/>
      <c r="T2381"/>
      <c r="U2381"/>
      <c r="V2381"/>
    </row>
    <row r="2382" spans="1:22" s="53" customFormat="1" x14ac:dyDescent="0.3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 s="1"/>
      <c r="T2382"/>
      <c r="U2382"/>
      <c r="V2382"/>
    </row>
    <row r="2383" spans="1:22" s="53" customFormat="1" x14ac:dyDescent="0.3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 s="1"/>
      <c r="T2383"/>
      <c r="U2383"/>
      <c r="V2383"/>
    </row>
    <row r="2384" spans="1:22" s="53" customFormat="1" x14ac:dyDescent="0.3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 s="1"/>
      <c r="T2384"/>
      <c r="U2384"/>
      <c r="V2384"/>
    </row>
    <row r="2385" spans="1:22" s="53" customFormat="1" x14ac:dyDescent="0.3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 s="1"/>
      <c r="T2385"/>
      <c r="U2385"/>
      <c r="V2385"/>
    </row>
    <row r="2386" spans="1:22" s="53" customFormat="1" x14ac:dyDescent="0.3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 s="1"/>
      <c r="T2386"/>
      <c r="U2386"/>
      <c r="V2386"/>
    </row>
    <row r="2387" spans="1:22" s="53" customFormat="1" x14ac:dyDescent="0.3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 s="1"/>
      <c r="T2387"/>
      <c r="U2387"/>
      <c r="V2387"/>
    </row>
    <row r="2388" spans="1:22" s="53" customFormat="1" x14ac:dyDescent="0.3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 s="1"/>
      <c r="T2388"/>
      <c r="U2388"/>
      <c r="V2388"/>
    </row>
    <row r="2389" spans="1:22" s="53" customFormat="1" x14ac:dyDescent="0.3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 s="1"/>
      <c r="T2389"/>
      <c r="U2389"/>
      <c r="V2389"/>
    </row>
    <row r="2390" spans="1:22" s="53" customFormat="1" x14ac:dyDescent="0.3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 s="1"/>
      <c r="T2390"/>
      <c r="U2390"/>
      <c r="V2390"/>
    </row>
    <row r="2391" spans="1:22" s="53" customFormat="1" x14ac:dyDescent="0.3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 s="1"/>
      <c r="T2391"/>
      <c r="U2391"/>
      <c r="V2391"/>
    </row>
    <row r="2392" spans="1:22" s="53" customFormat="1" x14ac:dyDescent="0.3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 s="1"/>
      <c r="T2392"/>
      <c r="U2392"/>
      <c r="V2392"/>
    </row>
    <row r="2393" spans="1:22" s="53" customFormat="1" x14ac:dyDescent="0.3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 s="1"/>
      <c r="T2393"/>
      <c r="U2393"/>
      <c r="V2393"/>
    </row>
    <row r="2394" spans="1:22" s="53" customFormat="1" x14ac:dyDescent="0.3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 s="1"/>
      <c r="T2394"/>
      <c r="U2394"/>
      <c r="V2394"/>
    </row>
    <row r="2395" spans="1:22" s="53" customFormat="1" x14ac:dyDescent="0.3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 s="1"/>
      <c r="T2395"/>
      <c r="U2395"/>
      <c r="V2395"/>
    </row>
    <row r="2396" spans="1:22" s="53" customFormat="1" x14ac:dyDescent="0.3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 s="1"/>
      <c r="T2396"/>
      <c r="U2396"/>
      <c r="V2396"/>
    </row>
    <row r="2397" spans="1:22" s="53" customFormat="1" x14ac:dyDescent="0.3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 s="1"/>
      <c r="T2397"/>
      <c r="U2397"/>
      <c r="V2397"/>
    </row>
    <row r="2398" spans="1:22" s="53" customFormat="1" x14ac:dyDescent="0.3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 s="1"/>
      <c r="T2398"/>
      <c r="U2398"/>
      <c r="V2398"/>
    </row>
    <row r="2399" spans="1:22" s="53" customFormat="1" x14ac:dyDescent="0.3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 s="1"/>
      <c r="T2399"/>
      <c r="U2399"/>
      <c r="V2399"/>
    </row>
    <row r="2400" spans="1:22" s="53" customFormat="1" x14ac:dyDescent="0.3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 s="1"/>
      <c r="T2400"/>
      <c r="U2400"/>
      <c r="V2400"/>
    </row>
    <row r="2401" spans="1:22" s="53" customFormat="1" x14ac:dyDescent="0.3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 s="1"/>
      <c r="T2401"/>
      <c r="U2401"/>
      <c r="V2401"/>
    </row>
    <row r="2402" spans="1:22" s="53" customFormat="1" x14ac:dyDescent="0.3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 s="1"/>
      <c r="T2402"/>
      <c r="U2402"/>
      <c r="V2402"/>
    </row>
    <row r="2403" spans="1:22" s="53" customFormat="1" x14ac:dyDescent="0.3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 s="1"/>
      <c r="T2403"/>
      <c r="U2403"/>
      <c r="V2403"/>
    </row>
    <row r="2404" spans="1:22" s="53" customFormat="1" x14ac:dyDescent="0.3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 s="1"/>
      <c r="T2404"/>
      <c r="U2404"/>
      <c r="V2404"/>
    </row>
    <row r="2405" spans="1:22" s="53" customFormat="1" x14ac:dyDescent="0.3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 s="1"/>
      <c r="T2405"/>
      <c r="U2405"/>
      <c r="V2405"/>
    </row>
    <row r="2406" spans="1:22" s="53" customFormat="1" x14ac:dyDescent="0.3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 s="1"/>
      <c r="T2406"/>
      <c r="U2406"/>
      <c r="V2406"/>
    </row>
    <row r="2407" spans="1:22" s="53" customFormat="1" x14ac:dyDescent="0.3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 s="1"/>
      <c r="T2407"/>
      <c r="U2407"/>
      <c r="V2407"/>
    </row>
    <row r="2408" spans="1:22" s="53" customFormat="1" x14ac:dyDescent="0.3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 s="1"/>
      <c r="T2408"/>
      <c r="U2408"/>
      <c r="V2408"/>
    </row>
    <row r="2409" spans="1:22" s="53" customFormat="1" x14ac:dyDescent="0.3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 s="1"/>
      <c r="T2409"/>
      <c r="U2409"/>
      <c r="V2409"/>
    </row>
    <row r="2410" spans="1:22" s="53" customFormat="1" x14ac:dyDescent="0.3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 s="1"/>
      <c r="T2410"/>
      <c r="U2410"/>
      <c r="V2410"/>
    </row>
    <row r="2411" spans="1:22" s="53" customFormat="1" x14ac:dyDescent="0.3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 s="1"/>
      <c r="T2411"/>
      <c r="U2411"/>
      <c r="V2411"/>
    </row>
    <row r="2412" spans="1:22" s="53" customFormat="1" x14ac:dyDescent="0.3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 s="1"/>
      <c r="T2412"/>
      <c r="U2412"/>
      <c r="V2412"/>
    </row>
    <row r="2413" spans="1:22" s="53" customFormat="1" x14ac:dyDescent="0.3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 s="1"/>
      <c r="T2413"/>
      <c r="U2413"/>
      <c r="V2413"/>
    </row>
    <row r="2414" spans="1:22" s="53" customFormat="1" x14ac:dyDescent="0.3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 s="1"/>
      <c r="T2414"/>
      <c r="U2414"/>
      <c r="V2414"/>
    </row>
    <row r="2415" spans="1:22" s="53" customFormat="1" x14ac:dyDescent="0.3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 s="1"/>
      <c r="T2415"/>
      <c r="U2415"/>
      <c r="V2415"/>
    </row>
    <row r="2416" spans="1:22" s="53" customFormat="1" x14ac:dyDescent="0.3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 s="1"/>
      <c r="T2416"/>
      <c r="U2416"/>
      <c r="V2416"/>
    </row>
    <row r="2417" spans="1:22" s="53" customFormat="1" x14ac:dyDescent="0.3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 s="1"/>
      <c r="T2417"/>
      <c r="U2417"/>
      <c r="V2417"/>
    </row>
    <row r="2418" spans="1:22" s="53" customFormat="1" x14ac:dyDescent="0.3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 s="1"/>
      <c r="T2418"/>
      <c r="U2418"/>
      <c r="V2418"/>
    </row>
    <row r="2419" spans="1:22" s="53" customFormat="1" x14ac:dyDescent="0.3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 s="1"/>
      <c r="T2419"/>
      <c r="U2419"/>
      <c r="V2419"/>
    </row>
    <row r="2420" spans="1:22" s="53" customFormat="1" x14ac:dyDescent="0.3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 s="1"/>
      <c r="T2420"/>
      <c r="U2420"/>
      <c r="V2420"/>
    </row>
    <row r="2421" spans="1:22" s="53" customFormat="1" x14ac:dyDescent="0.3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 s="1"/>
      <c r="T2421"/>
      <c r="U2421"/>
      <c r="V2421"/>
    </row>
    <row r="2422" spans="1:22" s="53" customFormat="1" x14ac:dyDescent="0.3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 s="1"/>
      <c r="T2422"/>
      <c r="U2422"/>
      <c r="V2422"/>
    </row>
    <row r="2423" spans="1:22" s="53" customFormat="1" x14ac:dyDescent="0.3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 s="1"/>
      <c r="T2423"/>
      <c r="U2423"/>
      <c r="V2423"/>
    </row>
    <row r="2424" spans="1:22" s="53" customFormat="1" x14ac:dyDescent="0.3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 s="1"/>
      <c r="T2424"/>
      <c r="U2424"/>
      <c r="V2424"/>
    </row>
    <row r="2425" spans="1:22" s="53" customFormat="1" x14ac:dyDescent="0.3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 s="1"/>
      <c r="T2425"/>
      <c r="U2425"/>
      <c r="V2425"/>
    </row>
    <row r="2426" spans="1:22" s="53" customFormat="1" x14ac:dyDescent="0.3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 s="1"/>
      <c r="T2426"/>
      <c r="U2426"/>
      <c r="V2426"/>
    </row>
    <row r="2427" spans="1:22" s="53" customFormat="1" x14ac:dyDescent="0.3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 s="1"/>
      <c r="T2427"/>
      <c r="U2427"/>
      <c r="V2427"/>
    </row>
    <row r="2428" spans="1:22" s="53" customFormat="1" x14ac:dyDescent="0.3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 s="1"/>
      <c r="T2428"/>
      <c r="U2428"/>
      <c r="V2428"/>
    </row>
    <row r="2429" spans="1:22" s="53" customFormat="1" x14ac:dyDescent="0.3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 s="1"/>
      <c r="T2429"/>
      <c r="U2429"/>
      <c r="V2429"/>
    </row>
    <row r="2430" spans="1:22" s="53" customFormat="1" x14ac:dyDescent="0.3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 s="1"/>
      <c r="T2430"/>
      <c r="U2430"/>
      <c r="V2430"/>
    </row>
    <row r="2431" spans="1:22" s="53" customFormat="1" x14ac:dyDescent="0.3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 s="1"/>
      <c r="T2431"/>
      <c r="U2431"/>
      <c r="V2431"/>
    </row>
    <row r="2432" spans="1:22" s="53" customFormat="1" x14ac:dyDescent="0.3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 s="1"/>
      <c r="T2432"/>
      <c r="U2432"/>
      <c r="V2432"/>
    </row>
    <row r="2433" spans="1:22" s="53" customFormat="1" x14ac:dyDescent="0.3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 s="1"/>
      <c r="T2433"/>
      <c r="U2433"/>
      <c r="V2433"/>
    </row>
    <row r="2434" spans="1:22" s="53" customFormat="1" x14ac:dyDescent="0.3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 s="1"/>
      <c r="T2434"/>
      <c r="U2434"/>
      <c r="V2434"/>
    </row>
    <row r="2435" spans="1:22" s="53" customFormat="1" x14ac:dyDescent="0.3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 s="1"/>
      <c r="T2435"/>
      <c r="U2435"/>
      <c r="V2435"/>
    </row>
    <row r="2436" spans="1:22" s="53" customFormat="1" x14ac:dyDescent="0.3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 s="1"/>
      <c r="T2436"/>
      <c r="U2436"/>
      <c r="V2436"/>
    </row>
    <row r="2437" spans="1:22" s="53" customFormat="1" x14ac:dyDescent="0.3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 s="1"/>
      <c r="T2437"/>
      <c r="U2437"/>
      <c r="V2437"/>
    </row>
    <row r="2438" spans="1:22" s="53" customFormat="1" x14ac:dyDescent="0.3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 s="1"/>
      <c r="T2438"/>
      <c r="U2438"/>
      <c r="V2438"/>
    </row>
    <row r="2439" spans="1:22" s="53" customFormat="1" x14ac:dyDescent="0.3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 s="1"/>
      <c r="T2439"/>
      <c r="U2439"/>
      <c r="V2439"/>
    </row>
    <row r="2440" spans="1:22" s="53" customFormat="1" x14ac:dyDescent="0.3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 s="1"/>
      <c r="T2440"/>
      <c r="U2440"/>
      <c r="V2440"/>
    </row>
    <row r="2441" spans="1:22" s="53" customFormat="1" x14ac:dyDescent="0.3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 s="1"/>
      <c r="T2441"/>
      <c r="U2441"/>
      <c r="V2441"/>
    </row>
    <row r="2442" spans="1:22" s="53" customFormat="1" x14ac:dyDescent="0.3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 s="1"/>
      <c r="T2442"/>
      <c r="U2442"/>
      <c r="V2442"/>
    </row>
    <row r="2443" spans="1:22" s="53" customFormat="1" x14ac:dyDescent="0.3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 s="1"/>
      <c r="T2443"/>
      <c r="U2443"/>
      <c r="V2443"/>
    </row>
    <row r="2444" spans="1:22" s="53" customFormat="1" x14ac:dyDescent="0.3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 s="1"/>
      <c r="T2444"/>
      <c r="U2444"/>
      <c r="V2444"/>
    </row>
    <row r="2445" spans="1:22" s="53" customFormat="1" x14ac:dyDescent="0.3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 s="1"/>
      <c r="T2445"/>
      <c r="U2445"/>
      <c r="V2445"/>
    </row>
    <row r="2446" spans="1:22" s="53" customFormat="1" x14ac:dyDescent="0.3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 s="1"/>
      <c r="T2446"/>
      <c r="U2446"/>
      <c r="V2446"/>
    </row>
    <row r="2447" spans="1:22" s="53" customFormat="1" x14ac:dyDescent="0.3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 s="1"/>
      <c r="T2447"/>
      <c r="U2447"/>
      <c r="V2447"/>
    </row>
    <row r="2448" spans="1:22" s="53" customFormat="1" x14ac:dyDescent="0.3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 s="1"/>
      <c r="T2448"/>
      <c r="U2448"/>
      <c r="V2448"/>
    </row>
    <row r="2449" spans="1:22" s="53" customFormat="1" x14ac:dyDescent="0.3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 s="1"/>
      <c r="T2449"/>
      <c r="U2449"/>
      <c r="V2449"/>
    </row>
    <row r="2450" spans="1:22" s="53" customFormat="1" x14ac:dyDescent="0.3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 s="1"/>
      <c r="T2450"/>
      <c r="U2450"/>
      <c r="V2450"/>
    </row>
    <row r="2451" spans="1:22" s="53" customFormat="1" x14ac:dyDescent="0.3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 s="1"/>
      <c r="T2451"/>
      <c r="U2451"/>
      <c r="V2451"/>
    </row>
    <row r="2452" spans="1:22" s="53" customFormat="1" x14ac:dyDescent="0.3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 s="1"/>
      <c r="T2452"/>
      <c r="U2452"/>
      <c r="V2452"/>
    </row>
    <row r="2453" spans="1:22" s="53" customFormat="1" x14ac:dyDescent="0.3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 s="1"/>
      <c r="T2453"/>
      <c r="U2453"/>
      <c r="V2453"/>
    </row>
    <row r="2454" spans="1:22" s="53" customFormat="1" x14ac:dyDescent="0.3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 s="1"/>
      <c r="T2454"/>
      <c r="U2454"/>
      <c r="V2454"/>
    </row>
    <row r="2455" spans="1:22" s="53" customFormat="1" x14ac:dyDescent="0.3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 s="1"/>
      <c r="T2455"/>
      <c r="U2455"/>
      <c r="V2455"/>
    </row>
    <row r="2456" spans="1:22" s="53" customFormat="1" x14ac:dyDescent="0.3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 s="1"/>
      <c r="T2456"/>
      <c r="U2456"/>
      <c r="V2456"/>
    </row>
    <row r="2457" spans="1:22" s="53" customFormat="1" x14ac:dyDescent="0.3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 s="1"/>
      <c r="T2457"/>
      <c r="U2457"/>
      <c r="V2457"/>
    </row>
    <row r="2458" spans="1:22" s="53" customFormat="1" x14ac:dyDescent="0.3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 s="1"/>
      <c r="T2458"/>
      <c r="U2458"/>
      <c r="V2458"/>
    </row>
    <row r="2459" spans="1:22" s="53" customFormat="1" x14ac:dyDescent="0.3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 s="1"/>
      <c r="T2459"/>
      <c r="U2459"/>
      <c r="V2459"/>
    </row>
    <row r="2460" spans="1:22" s="53" customFormat="1" x14ac:dyDescent="0.3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 s="1"/>
      <c r="T2460"/>
      <c r="U2460"/>
      <c r="V2460"/>
    </row>
    <row r="2461" spans="1:22" s="53" customFormat="1" x14ac:dyDescent="0.3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 s="1"/>
      <c r="T2461"/>
      <c r="U2461"/>
      <c r="V2461"/>
    </row>
    <row r="2462" spans="1:22" s="53" customFormat="1" x14ac:dyDescent="0.3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 s="1"/>
      <c r="T2462"/>
      <c r="U2462"/>
      <c r="V2462"/>
    </row>
    <row r="2463" spans="1:22" s="53" customFormat="1" x14ac:dyDescent="0.3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 s="1"/>
      <c r="T2463"/>
      <c r="U2463"/>
      <c r="V2463"/>
    </row>
    <row r="2464" spans="1:22" s="53" customFormat="1" x14ac:dyDescent="0.3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 s="1"/>
      <c r="T2464"/>
      <c r="U2464"/>
      <c r="V2464"/>
    </row>
    <row r="2465" spans="1:22" s="53" customFormat="1" x14ac:dyDescent="0.3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 s="1"/>
      <c r="T2465"/>
      <c r="U2465"/>
      <c r="V2465"/>
    </row>
    <row r="2466" spans="1:22" s="53" customFormat="1" x14ac:dyDescent="0.3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 s="1"/>
      <c r="T2466"/>
      <c r="U2466"/>
      <c r="V2466"/>
    </row>
    <row r="2467" spans="1:22" s="53" customFormat="1" x14ac:dyDescent="0.3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 s="1"/>
      <c r="T2467"/>
      <c r="U2467"/>
      <c r="V2467"/>
    </row>
    <row r="2468" spans="1:22" s="53" customFormat="1" x14ac:dyDescent="0.3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 s="1"/>
      <c r="T2468"/>
      <c r="U2468"/>
      <c r="V2468"/>
    </row>
    <row r="2469" spans="1:22" s="53" customFormat="1" x14ac:dyDescent="0.3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 s="1"/>
      <c r="T2469"/>
      <c r="U2469"/>
      <c r="V2469"/>
    </row>
    <row r="2470" spans="1:22" s="53" customFormat="1" x14ac:dyDescent="0.3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 s="1"/>
      <c r="T2470"/>
      <c r="U2470"/>
      <c r="V2470"/>
    </row>
    <row r="2471" spans="1:22" s="53" customFormat="1" x14ac:dyDescent="0.3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 s="1"/>
      <c r="T2471"/>
      <c r="U2471"/>
      <c r="V2471"/>
    </row>
    <row r="2472" spans="1:22" s="53" customFormat="1" x14ac:dyDescent="0.3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 s="1"/>
      <c r="T2472"/>
      <c r="U2472"/>
      <c r="V2472"/>
    </row>
    <row r="2473" spans="1:22" s="53" customFormat="1" x14ac:dyDescent="0.3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 s="1"/>
      <c r="T2473"/>
      <c r="U2473"/>
      <c r="V2473"/>
    </row>
    <row r="2474" spans="1:22" s="53" customFormat="1" x14ac:dyDescent="0.3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 s="1"/>
      <c r="T2474"/>
      <c r="U2474"/>
      <c r="V2474"/>
    </row>
    <row r="2475" spans="1:22" s="53" customFormat="1" x14ac:dyDescent="0.3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 s="1"/>
      <c r="T2475"/>
      <c r="U2475"/>
      <c r="V2475"/>
    </row>
    <row r="2476" spans="1:22" s="53" customFormat="1" x14ac:dyDescent="0.3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 s="1"/>
      <c r="T2476"/>
      <c r="U2476"/>
      <c r="V2476"/>
    </row>
    <row r="2477" spans="1:22" s="53" customFormat="1" x14ac:dyDescent="0.3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 s="1"/>
      <c r="T2477"/>
      <c r="U2477"/>
      <c r="V2477"/>
    </row>
    <row r="2478" spans="1:22" s="53" customFormat="1" x14ac:dyDescent="0.3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 s="1"/>
      <c r="T2478"/>
      <c r="U2478"/>
      <c r="V2478"/>
    </row>
    <row r="2479" spans="1:22" s="53" customFormat="1" x14ac:dyDescent="0.3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 s="1"/>
      <c r="T2479"/>
      <c r="U2479"/>
      <c r="V2479"/>
    </row>
    <row r="2480" spans="1:22" s="53" customFormat="1" x14ac:dyDescent="0.3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 s="1"/>
      <c r="T2480"/>
      <c r="U2480"/>
      <c r="V2480"/>
    </row>
    <row r="2481" spans="1:22" s="53" customFormat="1" x14ac:dyDescent="0.3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 s="1"/>
      <c r="T2481"/>
      <c r="U2481"/>
      <c r="V2481"/>
    </row>
    <row r="2482" spans="1:22" s="53" customFormat="1" x14ac:dyDescent="0.3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 s="1"/>
      <c r="T2482"/>
      <c r="U2482"/>
      <c r="V2482"/>
    </row>
    <row r="2483" spans="1:22" s="53" customFormat="1" x14ac:dyDescent="0.3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 s="1"/>
      <c r="T2483"/>
      <c r="U2483"/>
      <c r="V2483"/>
    </row>
    <row r="2484" spans="1:22" s="53" customFormat="1" x14ac:dyDescent="0.3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 s="1"/>
      <c r="T2484"/>
      <c r="U2484"/>
      <c r="V2484"/>
    </row>
    <row r="2485" spans="1:22" s="53" customFormat="1" x14ac:dyDescent="0.3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 s="1"/>
      <c r="T2485"/>
      <c r="U2485"/>
      <c r="V2485"/>
    </row>
    <row r="2486" spans="1:22" s="53" customFormat="1" x14ac:dyDescent="0.3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 s="1"/>
      <c r="T2486"/>
      <c r="U2486"/>
      <c r="V2486"/>
    </row>
    <row r="2487" spans="1:22" s="53" customFormat="1" x14ac:dyDescent="0.3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 s="1"/>
      <c r="T2487"/>
      <c r="U2487"/>
      <c r="V2487"/>
    </row>
    <row r="2488" spans="1:22" s="53" customFormat="1" x14ac:dyDescent="0.3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 s="1"/>
      <c r="T2488"/>
      <c r="U2488"/>
      <c r="V2488"/>
    </row>
    <row r="2489" spans="1:22" s="53" customFormat="1" x14ac:dyDescent="0.3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 s="1"/>
      <c r="T2489"/>
      <c r="U2489"/>
      <c r="V2489"/>
    </row>
    <row r="2490" spans="1:22" s="53" customFormat="1" x14ac:dyDescent="0.3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 s="1"/>
      <c r="T2490"/>
      <c r="U2490"/>
      <c r="V2490"/>
    </row>
    <row r="2491" spans="1:22" s="53" customFormat="1" x14ac:dyDescent="0.3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 s="1"/>
      <c r="T2491"/>
      <c r="U2491"/>
      <c r="V2491"/>
    </row>
    <row r="2492" spans="1:22" s="53" customFormat="1" x14ac:dyDescent="0.3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 s="1"/>
      <c r="T2492"/>
      <c r="U2492"/>
      <c r="V2492"/>
    </row>
    <row r="2493" spans="1:22" s="53" customFormat="1" x14ac:dyDescent="0.3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 s="1"/>
      <c r="T2493"/>
      <c r="U2493"/>
      <c r="V2493"/>
    </row>
    <row r="2494" spans="1:22" s="53" customFormat="1" x14ac:dyDescent="0.3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 s="1"/>
      <c r="T2494"/>
      <c r="U2494"/>
      <c r="V2494"/>
    </row>
    <row r="2495" spans="1:22" s="53" customFormat="1" x14ac:dyDescent="0.3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 s="1"/>
      <c r="T2495"/>
      <c r="U2495"/>
      <c r="V2495"/>
    </row>
    <row r="2496" spans="1:22" s="53" customFormat="1" x14ac:dyDescent="0.3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 s="1"/>
      <c r="T2496"/>
      <c r="U2496"/>
      <c r="V2496"/>
    </row>
    <row r="2497" spans="1:22" s="53" customFormat="1" x14ac:dyDescent="0.3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 s="1"/>
      <c r="T2497"/>
      <c r="U2497"/>
      <c r="V2497"/>
    </row>
    <row r="2498" spans="1:22" s="53" customFormat="1" x14ac:dyDescent="0.3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 s="1"/>
      <c r="T2498"/>
      <c r="U2498"/>
      <c r="V2498"/>
    </row>
    <row r="2499" spans="1:22" s="53" customFormat="1" x14ac:dyDescent="0.3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 s="1"/>
      <c r="T2499"/>
      <c r="U2499"/>
      <c r="V2499"/>
    </row>
    <row r="2500" spans="1:22" s="53" customFormat="1" x14ac:dyDescent="0.3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 s="1"/>
      <c r="T2500"/>
      <c r="U2500"/>
      <c r="V2500"/>
    </row>
    <row r="2501" spans="1:22" s="53" customFormat="1" x14ac:dyDescent="0.3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 s="1"/>
      <c r="T2501"/>
      <c r="U2501"/>
      <c r="V2501"/>
    </row>
    <row r="2502" spans="1:22" s="53" customFormat="1" x14ac:dyDescent="0.3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 s="1"/>
      <c r="T2502"/>
      <c r="U2502"/>
      <c r="V2502"/>
    </row>
    <row r="2503" spans="1:22" s="53" customFormat="1" x14ac:dyDescent="0.3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 s="1"/>
      <c r="T2503"/>
      <c r="U2503"/>
      <c r="V2503"/>
    </row>
    <row r="2504" spans="1:22" s="53" customFormat="1" x14ac:dyDescent="0.3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 s="1"/>
      <c r="T2504"/>
      <c r="U2504"/>
      <c r="V2504"/>
    </row>
    <row r="2505" spans="1:22" s="53" customFormat="1" x14ac:dyDescent="0.3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 s="1"/>
      <c r="T2505"/>
      <c r="U2505"/>
      <c r="V2505"/>
    </row>
    <row r="2506" spans="1:22" s="53" customFormat="1" x14ac:dyDescent="0.3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 s="1"/>
      <c r="T2506"/>
      <c r="U2506"/>
      <c r="V2506"/>
    </row>
    <row r="2507" spans="1:22" s="53" customFormat="1" x14ac:dyDescent="0.3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 s="1"/>
      <c r="T2507"/>
      <c r="U2507"/>
      <c r="V2507"/>
    </row>
    <row r="2508" spans="1:22" s="53" customFormat="1" x14ac:dyDescent="0.3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 s="1"/>
      <c r="T2508"/>
      <c r="U2508"/>
      <c r="V2508"/>
    </row>
    <row r="2509" spans="1:22" s="53" customFormat="1" x14ac:dyDescent="0.3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 s="1"/>
      <c r="T2509"/>
      <c r="U2509"/>
      <c r="V2509"/>
    </row>
    <row r="2510" spans="1:22" s="53" customFormat="1" x14ac:dyDescent="0.3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 s="1"/>
      <c r="T2510"/>
      <c r="U2510"/>
      <c r="V2510"/>
    </row>
    <row r="2511" spans="1:22" s="53" customFormat="1" x14ac:dyDescent="0.3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 s="1"/>
      <c r="T2511"/>
      <c r="U2511"/>
      <c r="V2511"/>
    </row>
    <row r="2512" spans="1:22" s="53" customFormat="1" x14ac:dyDescent="0.3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 s="1"/>
      <c r="T2512"/>
      <c r="U2512"/>
      <c r="V2512"/>
    </row>
    <row r="2513" spans="1:22" s="53" customFormat="1" x14ac:dyDescent="0.3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 s="1"/>
      <c r="T2513"/>
      <c r="U2513"/>
      <c r="V2513"/>
    </row>
    <row r="2514" spans="1:22" s="53" customFormat="1" x14ac:dyDescent="0.3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 s="1"/>
      <c r="T2514"/>
      <c r="U2514"/>
      <c r="V2514"/>
    </row>
    <row r="2515" spans="1:22" s="53" customFormat="1" x14ac:dyDescent="0.3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 s="1"/>
      <c r="T2515"/>
      <c r="U2515"/>
      <c r="V2515"/>
    </row>
    <row r="2516" spans="1:22" s="53" customFormat="1" x14ac:dyDescent="0.3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 s="1"/>
      <c r="T2516"/>
      <c r="U2516"/>
      <c r="V2516"/>
    </row>
    <row r="2517" spans="1:22" s="53" customFormat="1" x14ac:dyDescent="0.3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 s="1"/>
      <c r="T2517"/>
      <c r="U2517"/>
      <c r="V2517"/>
    </row>
    <row r="2518" spans="1:22" s="53" customFormat="1" x14ac:dyDescent="0.3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 s="1"/>
      <c r="T2518"/>
      <c r="U2518"/>
      <c r="V2518"/>
    </row>
    <row r="2519" spans="1:22" s="53" customFormat="1" x14ac:dyDescent="0.3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 s="1"/>
      <c r="T2519"/>
      <c r="U2519"/>
      <c r="V2519"/>
    </row>
    <row r="2520" spans="1:22" s="53" customFormat="1" x14ac:dyDescent="0.3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 s="1"/>
      <c r="T2520"/>
      <c r="U2520"/>
      <c r="V2520"/>
    </row>
    <row r="2521" spans="1:22" s="53" customFormat="1" x14ac:dyDescent="0.3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 s="1"/>
      <c r="T2521"/>
      <c r="U2521"/>
      <c r="V2521"/>
    </row>
    <row r="2522" spans="1:22" s="53" customFormat="1" x14ac:dyDescent="0.3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 s="1"/>
      <c r="T2522"/>
      <c r="U2522"/>
      <c r="V2522"/>
    </row>
    <row r="2523" spans="1:22" s="53" customFormat="1" x14ac:dyDescent="0.3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 s="1"/>
      <c r="T2523"/>
      <c r="U2523"/>
      <c r="V2523"/>
    </row>
    <row r="2524" spans="1:22" s="53" customFormat="1" x14ac:dyDescent="0.3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 s="1"/>
      <c r="T2524"/>
      <c r="U2524"/>
      <c r="V2524"/>
    </row>
    <row r="2525" spans="1:22" s="53" customFormat="1" x14ac:dyDescent="0.3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 s="1"/>
      <c r="T2525"/>
      <c r="U2525"/>
      <c r="V2525"/>
    </row>
    <row r="2526" spans="1:22" s="53" customFormat="1" x14ac:dyDescent="0.3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 s="1"/>
      <c r="T2526"/>
      <c r="U2526"/>
      <c r="V2526"/>
    </row>
    <row r="2527" spans="1:22" s="53" customFormat="1" x14ac:dyDescent="0.3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 s="1"/>
      <c r="T2527"/>
      <c r="U2527"/>
      <c r="V2527"/>
    </row>
    <row r="2528" spans="1:22" s="53" customFormat="1" x14ac:dyDescent="0.3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 s="1"/>
      <c r="T2528"/>
      <c r="U2528"/>
      <c r="V2528"/>
    </row>
    <row r="2529" spans="1:22" s="53" customFormat="1" x14ac:dyDescent="0.3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 s="1"/>
      <c r="T2529"/>
      <c r="U2529"/>
      <c r="V2529"/>
    </row>
    <row r="2530" spans="1:22" s="53" customFormat="1" x14ac:dyDescent="0.3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 s="1"/>
      <c r="T2530"/>
      <c r="U2530"/>
      <c r="V2530"/>
    </row>
    <row r="2531" spans="1:22" s="53" customFormat="1" x14ac:dyDescent="0.3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 s="1"/>
      <c r="T2531"/>
      <c r="U2531"/>
      <c r="V2531"/>
    </row>
    <row r="2532" spans="1:22" s="53" customFormat="1" x14ac:dyDescent="0.3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 s="1"/>
      <c r="T2532"/>
      <c r="U2532"/>
      <c r="V2532"/>
    </row>
    <row r="2533" spans="1:22" s="53" customFormat="1" x14ac:dyDescent="0.3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 s="1"/>
      <c r="T2533"/>
      <c r="U2533"/>
      <c r="V2533"/>
    </row>
    <row r="2534" spans="1:22" s="53" customFormat="1" x14ac:dyDescent="0.3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 s="1"/>
      <c r="T2534"/>
      <c r="U2534"/>
      <c r="V2534"/>
    </row>
    <row r="2535" spans="1:22" s="53" customFormat="1" x14ac:dyDescent="0.3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 s="1"/>
      <c r="T2535"/>
      <c r="U2535"/>
      <c r="V2535"/>
    </row>
    <row r="2536" spans="1:22" s="53" customFormat="1" x14ac:dyDescent="0.3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 s="1"/>
      <c r="T2536"/>
      <c r="U2536"/>
      <c r="V2536"/>
    </row>
    <row r="2537" spans="1:22" s="53" customFormat="1" x14ac:dyDescent="0.3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 s="1"/>
      <c r="T2537"/>
      <c r="U2537"/>
      <c r="V2537"/>
    </row>
    <row r="2538" spans="1:22" s="53" customFormat="1" x14ac:dyDescent="0.3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 s="1"/>
      <c r="T2538"/>
      <c r="U2538"/>
      <c r="V2538"/>
    </row>
    <row r="2539" spans="1:22" s="53" customFormat="1" x14ac:dyDescent="0.3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 s="1"/>
      <c r="T2539"/>
      <c r="U2539"/>
      <c r="V2539"/>
    </row>
    <row r="2540" spans="1:22" s="53" customFormat="1" x14ac:dyDescent="0.3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 s="1"/>
      <c r="T2540"/>
      <c r="U2540"/>
      <c r="V2540"/>
    </row>
    <row r="2541" spans="1:22" s="53" customFormat="1" x14ac:dyDescent="0.3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 s="1"/>
      <c r="T2541"/>
      <c r="U2541"/>
      <c r="V2541"/>
    </row>
    <row r="2542" spans="1:22" s="53" customFormat="1" x14ac:dyDescent="0.3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 s="1"/>
      <c r="T2542"/>
      <c r="U2542"/>
      <c r="V2542"/>
    </row>
    <row r="2543" spans="1:22" s="53" customFormat="1" x14ac:dyDescent="0.3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 s="1"/>
      <c r="T2543"/>
      <c r="U2543"/>
      <c r="V2543"/>
    </row>
    <row r="2544" spans="1:22" s="53" customFormat="1" x14ac:dyDescent="0.3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 s="1"/>
      <c r="T2544"/>
      <c r="U2544"/>
      <c r="V2544"/>
    </row>
    <row r="2545" spans="1:22" s="53" customFormat="1" x14ac:dyDescent="0.3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 s="1"/>
      <c r="T2545"/>
      <c r="U2545"/>
      <c r="V2545"/>
    </row>
    <row r="2546" spans="1:22" s="53" customFormat="1" x14ac:dyDescent="0.3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 s="1"/>
      <c r="T2546"/>
      <c r="U2546"/>
      <c r="V2546"/>
    </row>
    <row r="2547" spans="1:22" s="53" customFormat="1" x14ac:dyDescent="0.3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 s="1"/>
      <c r="T2547"/>
      <c r="U2547"/>
      <c r="V2547"/>
    </row>
    <row r="2548" spans="1:22" s="53" customFormat="1" x14ac:dyDescent="0.3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 s="1"/>
      <c r="T2548"/>
      <c r="U2548"/>
      <c r="V2548"/>
    </row>
    <row r="2549" spans="1:22" s="53" customFormat="1" x14ac:dyDescent="0.3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 s="1"/>
      <c r="T2549"/>
      <c r="U2549"/>
      <c r="V2549"/>
    </row>
    <row r="2550" spans="1:22" s="53" customFormat="1" x14ac:dyDescent="0.3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 s="1"/>
      <c r="T2550"/>
      <c r="U2550"/>
      <c r="V2550"/>
    </row>
    <row r="2551" spans="1:22" s="53" customFormat="1" x14ac:dyDescent="0.3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 s="1"/>
      <c r="T2551"/>
      <c r="U2551"/>
      <c r="V2551"/>
    </row>
    <row r="2552" spans="1:22" s="53" customFormat="1" x14ac:dyDescent="0.3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 s="1"/>
      <c r="T2552"/>
      <c r="U2552"/>
      <c r="V2552"/>
    </row>
    <row r="2553" spans="1:22" s="53" customFormat="1" x14ac:dyDescent="0.3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 s="1"/>
      <c r="T2553"/>
      <c r="U2553"/>
      <c r="V2553"/>
    </row>
    <row r="2554" spans="1:22" s="53" customFormat="1" x14ac:dyDescent="0.3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 s="1"/>
      <c r="T2554"/>
      <c r="U2554"/>
      <c r="V2554"/>
    </row>
    <row r="2555" spans="1:22" s="53" customFormat="1" x14ac:dyDescent="0.3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 s="1"/>
      <c r="T2555"/>
      <c r="U2555"/>
      <c r="V2555"/>
    </row>
    <row r="2556" spans="1:22" s="53" customFormat="1" x14ac:dyDescent="0.3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 s="1"/>
      <c r="T2556"/>
      <c r="U2556"/>
      <c r="V2556"/>
    </row>
    <row r="2557" spans="1:22" s="53" customFormat="1" x14ac:dyDescent="0.3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 s="1"/>
      <c r="T2557"/>
      <c r="U2557"/>
      <c r="V2557"/>
    </row>
    <row r="2558" spans="1:22" s="53" customFormat="1" x14ac:dyDescent="0.3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 s="1"/>
      <c r="T2558"/>
      <c r="U2558"/>
      <c r="V2558"/>
    </row>
    <row r="2559" spans="1:22" s="53" customFormat="1" x14ac:dyDescent="0.3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 s="1"/>
      <c r="T2559"/>
      <c r="U2559"/>
      <c r="V2559"/>
    </row>
    <row r="2560" spans="1:22" s="53" customFormat="1" x14ac:dyDescent="0.3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 s="1"/>
      <c r="T2560"/>
      <c r="U2560"/>
      <c r="V2560"/>
    </row>
    <row r="2561" spans="1:22" s="53" customFormat="1" x14ac:dyDescent="0.3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 s="1"/>
      <c r="T2561"/>
      <c r="U2561"/>
      <c r="V2561"/>
    </row>
    <row r="2562" spans="1:22" s="53" customFormat="1" x14ac:dyDescent="0.3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 s="1"/>
      <c r="T2562"/>
      <c r="U2562"/>
      <c r="V2562"/>
    </row>
    <row r="2563" spans="1:22" s="53" customFormat="1" x14ac:dyDescent="0.3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 s="1"/>
      <c r="T2563"/>
      <c r="U2563"/>
      <c r="V2563"/>
    </row>
    <row r="2564" spans="1:22" s="53" customFormat="1" x14ac:dyDescent="0.3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 s="1"/>
      <c r="T2564"/>
      <c r="U2564"/>
      <c r="V2564"/>
    </row>
    <row r="2565" spans="1:22" s="53" customFormat="1" x14ac:dyDescent="0.3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 s="1"/>
      <c r="T2565"/>
      <c r="U2565"/>
      <c r="V2565"/>
    </row>
    <row r="2566" spans="1:22" s="53" customFormat="1" x14ac:dyDescent="0.3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 s="1"/>
      <c r="T2566"/>
      <c r="U2566"/>
      <c r="V2566"/>
    </row>
    <row r="2567" spans="1:22" s="53" customFormat="1" x14ac:dyDescent="0.3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 s="1"/>
      <c r="T2567"/>
      <c r="U2567"/>
      <c r="V2567"/>
    </row>
    <row r="2568" spans="1:22" s="53" customFormat="1" x14ac:dyDescent="0.3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 s="1"/>
      <c r="T2568"/>
      <c r="U2568"/>
      <c r="V2568"/>
    </row>
    <row r="2569" spans="1:22" s="53" customFormat="1" x14ac:dyDescent="0.3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 s="1"/>
      <c r="T2569"/>
      <c r="U2569"/>
      <c r="V2569"/>
    </row>
    <row r="2570" spans="1:22" s="53" customFormat="1" x14ac:dyDescent="0.3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 s="1"/>
      <c r="T2570"/>
      <c r="U2570"/>
      <c r="V2570"/>
    </row>
    <row r="2571" spans="1:22" s="53" customFormat="1" x14ac:dyDescent="0.3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 s="1"/>
      <c r="T2571"/>
      <c r="U2571"/>
      <c r="V2571"/>
    </row>
    <row r="2572" spans="1:22" s="53" customFormat="1" x14ac:dyDescent="0.3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 s="1"/>
      <c r="T2572"/>
      <c r="U2572"/>
      <c r="V2572"/>
    </row>
    <row r="2573" spans="1:22" s="53" customFormat="1" x14ac:dyDescent="0.3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 s="1"/>
      <c r="T2573"/>
      <c r="U2573"/>
      <c r="V2573"/>
    </row>
    <row r="2574" spans="1:22" s="53" customFormat="1" x14ac:dyDescent="0.3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 s="1"/>
      <c r="T2574"/>
      <c r="U2574"/>
      <c r="V2574"/>
    </row>
    <row r="2575" spans="1:22" s="53" customFormat="1" x14ac:dyDescent="0.3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 s="1"/>
      <c r="T2575"/>
      <c r="U2575"/>
      <c r="V2575"/>
    </row>
    <row r="2576" spans="1:22" s="53" customFormat="1" x14ac:dyDescent="0.3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 s="1"/>
      <c r="T2576"/>
      <c r="U2576"/>
      <c r="V2576"/>
    </row>
    <row r="2577" spans="1:22" s="53" customFormat="1" x14ac:dyDescent="0.3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 s="1"/>
      <c r="T2577"/>
      <c r="U2577"/>
      <c r="V2577"/>
    </row>
    <row r="2578" spans="1:22" s="53" customFormat="1" x14ac:dyDescent="0.3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 s="1"/>
      <c r="T2578"/>
      <c r="U2578"/>
      <c r="V2578"/>
    </row>
    <row r="2579" spans="1:22" s="53" customFormat="1" x14ac:dyDescent="0.3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 s="1"/>
      <c r="T2579"/>
      <c r="U2579"/>
      <c r="V2579"/>
    </row>
    <row r="2580" spans="1:22" s="53" customFormat="1" x14ac:dyDescent="0.3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 s="1"/>
      <c r="T2580"/>
      <c r="U2580"/>
      <c r="V2580"/>
    </row>
    <row r="2581" spans="1:22" s="53" customFormat="1" x14ac:dyDescent="0.3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 s="1"/>
      <c r="T2581"/>
      <c r="U2581"/>
      <c r="V2581"/>
    </row>
    <row r="2582" spans="1:22" s="53" customFormat="1" x14ac:dyDescent="0.3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 s="1"/>
      <c r="T2582"/>
      <c r="U2582"/>
      <c r="V2582"/>
    </row>
    <row r="2583" spans="1:22" s="53" customFormat="1" x14ac:dyDescent="0.3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 s="1"/>
      <c r="T2583"/>
      <c r="U2583"/>
      <c r="V2583"/>
    </row>
    <row r="2584" spans="1:22" s="53" customFormat="1" x14ac:dyDescent="0.3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 s="1"/>
      <c r="T2584"/>
      <c r="U2584"/>
      <c r="V2584"/>
    </row>
    <row r="2585" spans="1:22" s="53" customFormat="1" x14ac:dyDescent="0.3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 s="1"/>
      <c r="T2585"/>
      <c r="U2585"/>
      <c r="V2585"/>
    </row>
    <row r="2586" spans="1:22" s="53" customFormat="1" x14ac:dyDescent="0.3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 s="1"/>
      <c r="T2586"/>
      <c r="U2586"/>
      <c r="V2586"/>
    </row>
    <row r="2587" spans="1:22" s="53" customFormat="1" x14ac:dyDescent="0.3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 s="1"/>
      <c r="T2587"/>
      <c r="U2587"/>
      <c r="V2587"/>
    </row>
    <row r="2588" spans="1:22" s="53" customFormat="1" x14ac:dyDescent="0.3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 s="1"/>
      <c r="T2588"/>
      <c r="U2588"/>
      <c r="V2588"/>
    </row>
    <row r="2589" spans="1:22" s="53" customFormat="1" x14ac:dyDescent="0.3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 s="1"/>
      <c r="T2589"/>
      <c r="U2589"/>
      <c r="V2589"/>
    </row>
    <row r="2590" spans="1:22" s="53" customFormat="1" x14ac:dyDescent="0.3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 s="1"/>
      <c r="T2590"/>
      <c r="U2590"/>
      <c r="V2590"/>
    </row>
    <row r="2591" spans="1:22" s="53" customFormat="1" x14ac:dyDescent="0.3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 s="1"/>
      <c r="T2591"/>
      <c r="U2591"/>
      <c r="V2591"/>
    </row>
    <row r="2592" spans="1:22" s="53" customFormat="1" x14ac:dyDescent="0.3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 s="1"/>
      <c r="T2592"/>
      <c r="U2592"/>
      <c r="V2592"/>
    </row>
    <row r="2593" spans="1:22" s="53" customFormat="1" x14ac:dyDescent="0.3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 s="1"/>
      <c r="T2593"/>
      <c r="U2593"/>
      <c r="V2593"/>
    </row>
    <row r="2594" spans="1:22" s="53" customFormat="1" x14ac:dyDescent="0.3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 s="1"/>
      <c r="T2594"/>
      <c r="U2594"/>
      <c r="V2594"/>
    </row>
    <row r="2595" spans="1:22" s="53" customFormat="1" x14ac:dyDescent="0.3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 s="1"/>
      <c r="T2595"/>
      <c r="U2595"/>
      <c r="V2595"/>
    </row>
    <row r="2596" spans="1:22" s="53" customFormat="1" x14ac:dyDescent="0.3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 s="1"/>
      <c r="T2596"/>
      <c r="U2596"/>
      <c r="V2596"/>
    </row>
    <row r="2597" spans="1:22" s="53" customFormat="1" x14ac:dyDescent="0.3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 s="1"/>
      <c r="T2597"/>
      <c r="U2597"/>
      <c r="V2597"/>
    </row>
    <row r="2598" spans="1:22" s="53" customFormat="1" x14ac:dyDescent="0.3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 s="1"/>
      <c r="T2598"/>
      <c r="U2598"/>
      <c r="V2598"/>
    </row>
    <row r="2599" spans="1:22" s="53" customFormat="1" x14ac:dyDescent="0.3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 s="1"/>
      <c r="T2599"/>
      <c r="U2599"/>
      <c r="V2599"/>
    </row>
    <row r="2600" spans="1:22" s="53" customFormat="1" x14ac:dyDescent="0.3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 s="1"/>
      <c r="T2600"/>
      <c r="U2600"/>
      <c r="V2600"/>
    </row>
    <row r="2601" spans="1:22" s="53" customFormat="1" x14ac:dyDescent="0.3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 s="1"/>
      <c r="T2601"/>
      <c r="U2601"/>
      <c r="V2601"/>
    </row>
    <row r="2602" spans="1:22" s="53" customFormat="1" x14ac:dyDescent="0.3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 s="1"/>
      <c r="T2602"/>
      <c r="U2602"/>
      <c r="V2602"/>
    </row>
    <row r="2603" spans="1:22" s="53" customFormat="1" x14ac:dyDescent="0.3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 s="1"/>
      <c r="T2603"/>
      <c r="U2603"/>
      <c r="V2603"/>
    </row>
    <row r="2604" spans="1:22" s="53" customFormat="1" x14ac:dyDescent="0.3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 s="1"/>
      <c r="T2604"/>
      <c r="U2604"/>
      <c r="V2604"/>
    </row>
    <row r="2605" spans="1:22" s="53" customFormat="1" x14ac:dyDescent="0.3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 s="1"/>
      <c r="T2605"/>
      <c r="U2605"/>
      <c r="V2605"/>
    </row>
    <row r="2606" spans="1:22" s="53" customFormat="1" x14ac:dyDescent="0.3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 s="1"/>
      <c r="T2606"/>
      <c r="U2606"/>
      <c r="V2606"/>
    </row>
    <row r="2607" spans="1:22" s="53" customFormat="1" x14ac:dyDescent="0.3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 s="1"/>
      <c r="T2607"/>
      <c r="U2607"/>
      <c r="V2607"/>
    </row>
    <row r="2608" spans="1:22" s="53" customFormat="1" x14ac:dyDescent="0.3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 s="1"/>
      <c r="T2608"/>
      <c r="U2608"/>
      <c r="V2608"/>
    </row>
    <row r="2609" spans="1:22" s="53" customFormat="1" x14ac:dyDescent="0.3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 s="1"/>
      <c r="T2609"/>
      <c r="U2609"/>
      <c r="V2609"/>
    </row>
    <row r="2610" spans="1:22" s="53" customFormat="1" x14ac:dyDescent="0.3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 s="1"/>
      <c r="T2610"/>
      <c r="U2610"/>
      <c r="V2610"/>
    </row>
    <row r="2611" spans="1:22" s="53" customFormat="1" x14ac:dyDescent="0.3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 s="1"/>
      <c r="T2611"/>
      <c r="U2611"/>
      <c r="V2611"/>
    </row>
    <row r="2612" spans="1:22" s="53" customFormat="1" x14ac:dyDescent="0.3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 s="1"/>
      <c r="T2612"/>
      <c r="U2612"/>
      <c r="V2612"/>
    </row>
    <row r="2613" spans="1:22" s="53" customFormat="1" x14ac:dyDescent="0.3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 s="1"/>
      <c r="T2613"/>
      <c r="U2613"/>
      <c r="V2613"/>
    </row>
    <row r="2614" spans="1:22" s="53" customFormat="1" x14ac:dyDescent="0.3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 s="1"/>
      <c r="T2614"/>
      <c r="U2614"/>
      <c r="V2614"/>
    </row>
    <row r="2615" spans="1:22" s="53" customFormat="1" x14ac:dyDescent="0.3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 s="1"/>
      <c r="T2615"/>
      <c r="U2615"/>
      <c r="V2615"/>
    </row>
    <row r="2616" spans="1:22" s="53" customFormat="1" x14ac:dyDescent="0.3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 s="1"/>
      <c r="T2616"/>
      <c r="U2616"/>
      <c r="V2616"/>
    </row>
    <row r="2617" spans="1:22" s="53" customFormat="1" x14ac:dyDescent="0.3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 s="1"/>
      <c r="T2617"/>
      <c r="U2617"/>
      <c r="V2617"/>
    </row>
    <row r="2618" spans="1:22" s="53" customFormat="1" x14ac:dyDescent="0.3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 s="1"/>
      <c r="T2618"/>
      <c r="U2618"/>
      <c r="V2618"/>
    </row>
    <row r="2619" spans="1:22" s="53" customFormat="1" x14ac:dyDescent="0.3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 s="1"/>
      <c r="T2619"/>
      <c r="U2619"/>
      <c r="V2619"/>
    </row>
    <row r="2620" spans="1:22" s="53" customFormat="1" x14ac:dyDescent="0.3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 s="1"/>
      <c r="T2620"/>
      <c r="U2620"/>
      <c r="V2620"/>
    </row>
    <row r="2621" spans="1:22" s="53" customFormat="1" x14ac:dyDescent="0.3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 s="1"/>
      <c r="T2621"/>
      <c r="U2621"/>
      <c r="V2621"/>
    </row>
    <row r="2622" spans="1:22" s="53" customFormat="1" x14ac:dyDescent="0.3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 s="1"/>
      <c r="T2622"/>
      <c r="U2622"/>
      <c r="V2622"/>
    </row>
    <row r="2623" spans="1:22" s="53" customFormat="1" x14ac:dyDescent="0.3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 s="1"/>
      <c r="T2623"/>
      <c r="U2623"/>
      <c r="V2623"/>
    </row>
    <row r="2624" spans="1:22" s="53" customFormat="1" x14ac:dyDescent="0.3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 s="1"/>
      <c r="T2624"/>
      <c r="U2624"/>
      <c r="V2624"/>
    </row>
    <row r="2625" spans="1:22" s="53" customFormat="1" x14ac:dyDescent="0.3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 s="1"/>
      <c r="T2625"/>
      <c r="U2625"/>
      <c r="V2625"/>
    </row>
    <row r="2626" spans="1:22" s="53" customFormat="1" x14ac:dyDescent="0.3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 s="1"/>
      <c r="T2626"/>
      <c r="U2626"/>
      <c r="V2626"/>
    </row>
    <row r="2627" spans="1:22" s="53" customFormat="1" x14ac:dyDescent="0.3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 s="1"/>
      <c r="T2627"/>
      <c r="U2627"/>
      <c r="V2627"/>
    </row>
    <row r="2628" spans="1:22" s="53" customFormat="1" x14ac:dyDescent="0.3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 s="1"/>
      <c r="T2628"/>
      <c r="U2628"/>
      <c r="V2628"/>
    </row>
    <row r="2629" spans="1:22" s="53" customFormat="1" x14ac:dyDescent="0.3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 s="1"/>
      <c r="T2629"/>
      <c r="U2629"/>
      <c r="V2629"/>
    </row>
    <row r="2630" spans="1:22" s="53" customFormat="1" x14ac:dyDescent="0.3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 s="1"/>
      <c r="T2630"/>
      <c r="U2630"/>
      <c r="V2630"/>
    </row>
    <row r="2631" spans="1:22" s="53" customFormat="1" x14ac:dyDescent="0.3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 s="1"/>
      <c r="T2631"/>
      <c r="U2631"/>
      <c r="V2631"/>
    </row>
    <row r="2632" spans="1:22" s="53" customFormat="1" x14ac:dyDescent="0.3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 s="1"/>
      <c r="T2632"/>
      <c r="U2632"/>
      <c r="V2632"/>
    </row>
    <row r="2633" spans="1:22" s="53" customFormat="1" x14ac:dyDescent="0.3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 s="1"/>
      <c r="T2633"/>
      <c r="U2633"/>
      <c r="V2633"/>
    </row>
    <row r="2634" spans="1:22" s="53" customFormat="1" x14ac:dyDescent="0.3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 s="1"/>
      <c r="T2634"/>
      <c r="U2634"/>
      <c r="V2634"/>
    </row>
    <row r="2635" spans="1:22" s="53" customFormat="1" x14ac:dyDescent="0.3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 s="1"/>
      <c r="T2635"/>
      <c r="U2635"/>
      <c r="V2635"/>
    </row>
    <row r="2636" spans="1:22" s="53" customFormat="1" x14ac:dyDescent="0.3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 s="1"/>
      <c r="T2636"/>
      <c r="U2636"/>
      <c r="V2636"/>
    </row>
    <row r="2637" spans="1:22" s="53" customFormat="1" x14ac:dyDescent="0.3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 s="1"/>
      <c r="T2637"/>
      <c r="U2637"/>
      <c r="V2637"/>
    </row>
    <row r="2638" spans="1:22" s="53" customFormat="1" x14ac:dyDescent="0.3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 s="1"/>
      <c r="T2638"/>
      <c r="U2638"/>
      <c r="V2638"/>
    </row>
    <row r="2639" spans="1:22" s="53" customFormat="1" x14ac:dyDescent="0.3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 s="1"/>
      <c r="T2639"/>
      <c r="U2639"/>
      <c r="V2639"/>
    </row>
    <row r="2640" spans="1:22" s="53" customFormat="1" x14ac:dyDescent="0.3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 s="1"/>
      <c r="T2640"/>
      <c r="U2640"/>
      <c r="V2640"/>
    </row>
    <row r="2641" spans="1:22" s="53" customFormat="1" x14ac:dyDescent="0.3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 s="1"/>
      <c r="T2641"/>
      <c r="U2641"/>
      <c r="V2641"/>
    </row>
    <row r="2642" spans="1:22" s="53" customFormat="1" x14ac:dyDescent="0.3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 s="1"/>
      <c r="T2642"/>
      <c r="U2642"/>
      <c r="V2642"/>
    </row>
    <row r="2643" spans="1:22" s="53" customFormat="1" x14ac:dyDescent="0.3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 s="1"/>
      <c r="T2643"/>
      <c r="U2643"/>
      <c r="V2643"/>
    </row>
    <row r="2644" spans="1:22" s="53" customFormat="1" x14ac:dyDescent="0.3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 s="1"/>
      <c r="T2644"/>
      <c r="U2644"/>
      <c r="V2644"/>
    </row>
    <row r="2645" spans="1:22" s="53" customFormat="1" x14ac:dyDescent="0.3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 s="1"/>
      <c r="T2645"/>
      <c r="U2645"/>
      <c r="V2645"/>
    </row>
    <row r="2646" spans="1:22" s="53" customFormat="1" x14ac:dyDescent="0.3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 s="1"/>
      <c r="T2646"/>
      <c r="U2646"/>
      <c r="V2646"/>
    </row>
    <row r="2647" spans="1:22" s="53" customFormat="1" x14ac:dyDescent="0.3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 s="1"/>
      <c r="T2647"/>
      <c r="U2647"/>
      <c r="V2647"/>
    </row>
    <row r="2648" spans="1:22" s="53" customFormat="1" x14ac:dyDescent="0.3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 s="1"/>
      <c r="T2648"/>
      <c r="U2648"/>
      <c r="V2648"/>
    </row>
    <row r="2649" spans="1:22" s="53" customFormat="1" x14ac:dyDescent="0.3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 s="1"/>
      <c r="T2649"/>
      <c r="U2649"/>
      <c r="V2649"/>
    </row>
    <row r="2650" spans="1:22" s="53" customFormat="1" x14ac:dyDescent="0.3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 s="1"/>
      <c r="T2650"/>
      <c r="U2650"/>
      <c r="V2650"/>
    </row>
    <row r="2651" spans="1:22" s="53" customFormat="1" x14ac:dyDescent="0.3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 s="1"/>
      <c r="T2651"/>
      <c r="U2651"/>
      <c r="V2651"/>
    </row>
    <row r="2652" spans="1:22" s="53" customFormat="1" x14ac:dyDescent="0.3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 s="1"/>
      <c r="T2652"/>
      <c r="U2652"/>
      <c r="V2652"/>
    </row>
    <row r="2653" spans="1:22" s="53" customFormat="1" x14ac:dyDescent="0.3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 s="1"/>
      <c r="T2653"/>
      <c r="U2653"/>
      <c r="V2653"/>
    </row>
    <row r="2654" spans="1:22" s="53" customFormat="1" x14ac:dyDescent="0.3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 s="1"/>
      <c r="T2654"/>
      <c r="U2654"/>
      <c r="V2654"/>
    </row>
    <row r="2655" spans="1:22" s="53" customFormat="1" x14ac:dyDescent="0.3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 s="1"/>
      <c r="T2655"/>
      <c r="U2655"/>
      <c r="V2655"/>
    </row>
    <row r="2656" spans="1:22" s="53" customFormat="1" x14ac:dyDescent="0.3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 s="1"/>
      <c r="T2656"/>
      <c r="U2656"/>
      <c r="V2656"/>
    </row>
    <row r="2657" spans="1:22" s="53" customFormat="1" x14ac:dyDescent="0.3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 s="1"/>
      <c r="T2657"/>
      <c r="U2657"/>
      <c r="V2657"/>
    </row>
    <row r="2658" spans="1:22" s="53" customFormat="1" x14ac:dyDescent="0.3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 s="1"/>
      <c r="T2658"/>
      <c r="U2658"/>
      <c r="V2658"/>
    </row>
    <row r="2659" spans="1:22" s="53" customFormat="1" x14ac:dyDescent="0.3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 s="1"/>
      <c r="T2659"/>
      <c r="U2659"/>
      <c r="V2659"/>
    </row>
    <row r="2660" spans="1:22" s="53" customFormat="1" x14ac:dyDescent="0.3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 s="1"/>
      <c r="T2660"/>
      <c r="U2660"/>
      <c r="V2660"/>
    </row>
    <row r="2661" spans="1:22" s="53" customFormat="1" x14ac:dyDescent="0.3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 s="1"/>
      <c r="T2661"/>
      <c r="U2661"/>
      <c r="V2661"/>
    </row>
    <row r="2662" spans="1:22" s="53" customFormat="1" x14ac:dyDescent="0.3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 s="1"/>
      <c r="T2662"/>
      <c r="U2662"/>
      <c r="V2662"/>
    </row>
    <row r="2663" spans="1:22" s="53" customFormat="1" x14ac:dyDescent="0.3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 s="1"/>
      <c r="T2663"/>
      <c r="U2663"/>
      <c r="V2663"/>
    </row>
    <row r="2664" spans="1:22" s="53" customFormat="1" x14ac:dyDescent="0.3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 s="1"/>
      <c r="T2664"/>
      <c r="U2664"/>
      <c r="V2664"/>
    </row>
    <row r="2665" spans="1:22" s="53" customFormat="1" x14ac:dyDescent="0.3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 s="1"/>
      <c r="T2665"/>
      <c r="U2665"/>
      <c r="V2665"/>
    </row>
    <row r="2666" spans="1:22" s="53" customFormat="1" x14ac:dyDescent="0.3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 s="1"/>
      <c r="T2666"/>
      <c r="U2666"/>
      <c r="V2666"/>
    </row>
    <row r="2667" spans="1:22" s="53" customFormat="1" x14ac:dyDescent="0.3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 s="1"/>
      <c r="T2667"/>
      <c r="U2667"/>
      <c r="V2667"/>
    </row>
    <row r="2668" spans="1:22" s="53" customFormat="1" x14ac:dyDescent="0.3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 s="1"/>
      <c r="T2668"/>
      <c r="U2668"/>
      <c r="V2668"/>
    </row>
    <row r="2669" spans="1:22" s="53" customFormat="1" x14ac:dyDescent="0.3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 s="1"/>
      <c r="T2669"/>
      <c r="U2669"/>
      <c r="V2669"/>
    </row>
    <row r="2670" spans="1:22" s="53" customFormat="1" x14ac:dyDescent="0.3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 s="1"/>
      <c r="T2670"/>
      <c r="U2670"/>
      <c r="V2670"/>
    </row>
    <row r="2671" spans="1:22" s="53" customFormat="1" x14ac:dyDescent="0.3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 s="1"/>
      <c r="T2671"/>
      <c r="U2671"/>
      <c r="V2671"/>
    </row>
    <row r="2672" spans="1:22" s="53" customFormat="1" x14ac:dyDescent="0.3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 s="1"/>
      <c r="T2672"/>
      <c r="U2672"/>
      <c r="V2672"/>
    </row>
    <row r="2673" spans="1:22" s="53" customFormat="1" x14ac:dyDescent="0.3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 s="1"/>
      <c r="T2673"/>
      <c r="U2673"/>
      <c r="V2673"/>
    </row>
    <row r="2674" spans="1:22" s="53" customFormat="1" x14ac:dyDescent="0.3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 s="1"/>
      <c r="T2674"/>
      <c r="U2674"/>
      <c r="V2674"/>
    </row>
    <row r="2675" spans="1:22" s="53" customFormat="1" x14ac:dyDescent="0.3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 s="1"/>
      <c r="T2675"/>
      <c r="U2675"/>
      <c r="V2675"/>
    </row>
    <row r="2676" spans="1:22" s="53" customFormat="1" x14ac:dyDescent="0.3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 s="1"/>
      <c r="T2676"/>
      <c r="U2676"/>
      <c r="V2676"/>
    </row>
    <row r="2677" spans="1:22" s="53" customFormat="1" x14ac:dyDescent="0.3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 s="1"/>
      <c r="T2677"/>
      <c r="U2677"/>
      <c r="V2677"/>
    </row>
    <row r="2678" spans="1:22" s="53" customFormat="1" x14ac:dyDescent="0.3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 s="1"/>
      <c r="T2678"/>
      <c r="U2678"/>
      <c r="V2678"/>
    </row>
    <row r="2679" spans="1:22" s="53" customFormat="1" x14ac:dyDescent="0.3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 s="1"/>
      <c r="T2679"/>
      <c r="U2679"/>
      <c r="V2679"/>
    </row>
    <row r="2680" spans="1:22" s="53" customFormat="1" x14ac:dyDescent="0.3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 s="1"/>
      <c r="T2680"/>
      <c r="U2680"/>
      <c r="V2680"/>
    </row>
    <row r="2681" spans="1:22" s="53" customFormat="1" x14ac:dyDescent="0.3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 s="1"/>
      <c r="T2681"/>
      <c r="U2681"/>
      <c r="V2681"/>
    </row>
    <row r="2682" spans="1:22" s="53" customFormat="1" x14ac:dyDescent="0.3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 s="1"/>
      <c r="T2682"/>
      <c r="U2682"/>
      <c r="V2682"/>
    </row>
    <row r="2683" spans="1:22" s="53" customFormat="1" x14ac:dyDescent="0.3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 s="1"/>
      <c r="T2683"/>
      <c r="U2683"/>
      <c r="V2683"/>
    </row>
    <row r="2684" spans="1:22" s="53" customFormat="1" x14ac:dyDescent="0.3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 s="1"/>
      <c r="T2684"/>
      <c r="U2684"/>
      <c r="V2684"/>
    </row>
    <row r="2685" spans="1:22" s="53" customFormat="1" x14ac:dyDescent="0.3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 s="1"/>
      <c r="T2685"/>
      <c r="U2685"/>
      <c r="V2685"/>
    </row>
    <row r="2686" spans="1:22" s="53" customFormat="1" x14ac:dyDescent="0.3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 s="1"/>
      <c r="T2686"/>
      <c r="U2686"/>
      <c r="V2686"/>
    </row>
    <row r="2687" spans="1:22" s="53" customFormat="1" x14ac:dyDescent="0.3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 s="1"/>
      <c r="T2687"/>
      <c r="U2687"/>
      <c r="V2687"/>
    </row>
    <row r="2688" spans="1:22" s="53" customFormat="1" x14ac:dyDescent="0.3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 s="1"/>
      <c r="T2688"/>
      <c r="U2688"/>
      <c r="V2688"/>
    </row>
    <row r="2689" spans="1:22" s="53" customFormat="1" x14ac:dyDescent="0.3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 s="1"/>
      <c r="T2689"/>
      <c r="U2689"/>
      <c r="V2689"/>
    </row>
    <row r="2690" spans="1:22" s="53" customFormat="1" x14ac:dyDescent="0.3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 s="1"/>
      <c r="T2690"/>
      <c r="U2690"/>
      <c r="V2690"/>
    </row>
    <row r="2691" spans="1:22" s="53" customFormat="1" x14ac:dyDescent="0.3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 s="1"/>
      <c r="T2691"/>
      <c r="U2691"/>
      <c r="V2691"/>
    </row>
    <row r="2692" spans="1:22" s="53" customFormat="1" x14ac:dyDescent="0.3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 s="1"/>
      <c r="T2692"/>
      <c r="U2692"/>
      <c r="V2692"/>
    </row>
    <row r="2693" spans="1:22" s="53" customFormat="1" x14ac:dyDescent="0.3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 s="1"/>
      <c r="T2693"/>
      <c r="U2693"/>
      <c r="V2693"/>
    </row>
    <row r="2694" spans="1:22" s="53" customFormat="1" x14ac:dyDescent="0.3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 s="1"/>
      <c r="T2694"/>
      <c r="U2694"/>
      <c r="V2694"/>
    </row>
    <row r="2695" spans="1:22" s="53" customFormat="1" x14ac:dyDescent="0.3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 s="1"/>
      <c r="T2695"/>
      <c r="U2695"/>
      <c r="V2695"/>
    </row>
    <row r="2696" spans="1:22" s="53" customFormat="1" x14ac:dyDescent="0.3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 s="1"/>
      <c r="T2696"/>
      <c r="U2696"/>
      <c r="V2696"/>
    </row>
    <row r="2697" spans="1:22" s="53" customFormat="1" x14ac:dyDescent="0.3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 s="1"/>
      <c r="T2697"/>
      <c r="U2697"/>
      <c r="V2697"/>
    </row>
    <row r="2698" spans="1:22" s="53" customFormat="1" x14ac:dyDescent="0.3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 s="1"/>
      <c r="T2698"/>
      <c r="U2698"/>
      <c r="V2698"/>
    </row>
    <row r="2699" spans="1:22" s="53" customFormat="1" x14ac:dyDescent="0.3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 s="1"/>
      <c r="T2699"/>
      <c r="U2699"/>
      <c r="V2699"/>
    </row>
    <row r="2700" spans="1:22" s="53" customFormat="1" x14ac:dyDescent="0.3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 s="1"/>
      <c r="T2700"/>
      <c r="U2700"/>
      <c r="V2700"/>
    </row>
    <row r="2701" spans="1:22" s="53" customFormat="1" x14ac:dyDescent="0.3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 s="1"/>
      <c r="T2701"/>
      <c r="U2701"/>
      <c r="V2701"/>
    </row>
    <row r="2702" spans="1:22" s="53" customFormat="1" x14ac:dyDescent="0.3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 s="1"/>
      <c r="T2702"/>
      <c r="U2702"/>
      <c r="V2702"/>
    </row>
    <row r="2703" spans="1:22" s="53" customFormat="1" x14ac:dyDescent="0.3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 s="1"/>
      <c r="T2703"/>
      <c r="U2703"/>
      <c r="V2703"/>
    </row>
    <row r="2704" spans="1:22" s="53" customFormat="1" x14ac:dyDescent="0.3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 s="1"/>
      <c r="T2704"/>
      <c r="U2704"/>
      <c r="V2704"/>
    </row>
    <row r="2705" spans="1:22" s="53" customFormat="1" x14ac:dyDescent="0.3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 s="1"/>
      <c r="T2705"/>
      <c r="U2705"/>
      <c r="V2705"/>
    </row>
    <row r="2706" spans="1:22" s="53" customFormat="1" x14ac:dyDescent="0.3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 s="1"/>
      <c r="T2706"/>
      <c r="U2706"/>
      <c r="V2706"/>
    </row>
    <row r="2707" spans="1:22" s="53" customFormat="1" x14ac:dyDescent="0.3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 s="1"/>
      <c r="T2707"/>
      <c r="U2707"/>
      <c r="V2707"/>
    </row>
    <row r="2708" spans="1:22" s="53" customFormat="1" x14ac:dyDescent="0.3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 s="1"/>
      <c r="T2708"/>
      <c r="U2708"/>
      <c r="V2708"/>
    </row>
    <row r="2709" spans="1:22" s="53" customFormat="1" x14ac:dyDescent="0.3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 s="1"/>
      <c r="T2709"/>
      <c r="U2709"/>
      <c r="V2709"/>
    </row>
    <row r="2710" spans="1:22" s="53" customFormat="1" x14ac:dyDescent="0.3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 s="1"/>
      <c r="T2710"/>
      <c r="U2710"/>
      <c r="V2710"/>
    </row>
    <row r="2711" spans="1:22" s="53" customFormat="1" x14ac:dyDescent="0.3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 s="1"/>
      <c r="T2711"/>
      <c r="U2711"/>
      <c r="V2711"/>
    </row>
    <row r="2712" spans="1:22" s="53" customFormat="1" x14ac:dyDescent="0.3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 s="1"/>
      <c r="T2712"/>
      <c r="U2712"/>
      <c r="V2712"/>
    </row>
    <row r="2713" spans="1:22" s="53" customFormat="1" x14ac:dyDescent="0.3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 s="1"/>
      <c r="T2713"/>
      <c r="U2713"/>
      <c r="V2713"/>
    </row>
    <row r="2714" spans="1:22" s="53" customFormat="1" x14ac:dyDescent="0.3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 s="1"/>
      <c r="T2714"/>
      <c r="U2714"/>
      <c r="V2714"/>
    </row>
    <row r="2715" spans="1:22" s="53" customFormat="1" x14ac:dyDescent="0.3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 s="1"/>
      <c r="T2715"/>
      <c r="U2715"/>
      <c r="V2715"/>
    </row>
    <row r="2716" spans="1:22" s="53" customFormat="1" x14ac:dyDescent="0.3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 s="1"/>
      <c r="T2716"/>
      <c r="U2716"/>
      <c r="V2716"/>
    </row>
    <row r="2717" spans="1:22" s="53" customFormat="1" x14ac:dyDescent="0.3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 s="1"/>
      <c r="T2717"/>
      <c r="U2717"/>
      <c r="V2717"/>
    </row>
    <row r="2718" spans="1:22" s="53" customFormat="1" x14ac:dyDescent="0.3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 s="1"/>
      <c r="T2718"/>
      <c r="U2718"/>
      <c r="V2718"/>
    </row>
    <row r="2719" spans="1:22" s="53" customFormat="1" x14ac:dyDescent="0.3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 s="1"/>
      <c r="T2719"/>
      <c r="U2719"/>
      <c r="V2719"/>
    </row>
    <row r="2720" spans="1:22" s="53" customFormat="1" x14ac:dyDescent="0.3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 s="1"/>
      <c r="T2720"/>
      <c r="U2720"/>
      <c r="V2720"/>
    </row>
    <row r="2721" spans="1:22" s="53" customFormat="1" x14ac:dyDescent="0.3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 s="1"/>
      <c r="T2721"/>
      <c r="U2721"/>
      <c r="V2721"/>
    </row>
    <row r="2722" spans="1:22" s="53" customFormat="1" x14ac:dyDescent="0.3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 s="1"/>
      <c r="T2722"/>
      <c r="U2722"/>
      <c r="V2722"/>
    </row>
    <row r="2723" spans="1:22" s="53" customFormat="1" x14ac:dyDescent="0.3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 s="1"/>
      <c r="T2723"/>
      <c r="U2723"/>
      <c r="V2723"/>
    </row>
    <row r="2724" spans="1:22" s="53" customFormat="1" x14ac:dyDescent="0.3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 s="1"/>
      <c r="T2724"/>
      <c r="U2724"/>
      <c r="V2724"/>
    </row>
    <row r="2725" spans="1:22" s="53" customFormat="1" x14ac:dyDescent="0.3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 s="1"/>
      <c r="T2725"/>
      <c r="U2725"/>
      <c r="V2725"/>
    </row>
    <row r="2726" spans="1:22" s="53" customFormat="1" x14ac:dyDescent="0.3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 s="1"/>
      <c r="T2726"/>
      <c r="U2726"/>
      <c r="V2726"/>
    </row>
    <row r="2727" spans="1:22" s="53" customFormat="1" x14ac:dyDescent="0.3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 s="1"/>
      <c r="T2727"/>
      <c r="U2727"/>
      <c r="V2727"/>
    </row>
    <row r="2728" spans="1:22" s="53" customFormat="1" x14ac:dyDescent="0.3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 s="1"/>
      <c r="T2728"/>
      <c r="U2728"/>
      <c r="V2728"/>
    </row>
    <row r="2729" spans="1:22" s="53" customFormat="1" x14ac:dyDescent="0.3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 s="1"/>
      <c r="T2729"/>
      <c r="U2729"/>
      <c r="V2729"/>
    </row>
    <row r="2730" spans="1:22" s="53" customFormat="1" x14ac:dyDescent="0.3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 s="1"/>
      <c r="T2730"/>
      <c r="U2730"/>
      <c r="V2730"/>
    </row>
    <row r="2731" spans="1:22" s="53" customFormat="1" x14ac:dyDescent="0.3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 s="1"/>
      <c r="T2731"/>
      <c r="U2731"/>
      <c r="V2731"/>
    </row>
    <row r="2732" spans="1:22" s="53" customFormat="1" x14ac:dyDescent="0.3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 s="1"/>
      <c r="T2732"/>
      <c r="U2732"/>
      <c r="V2732"/>
    </row>
    <row r="2733" spans="1:22" s="53" customFormat="1" x14ac:dyDescent="0.3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 s="1"/>
      <c r="T2733"/>
      <c r="U2733"/>
      <c r="V2733"/>
    </row>
    <row r="2734" spans="1:22" s="53" customFormat="1" x14ac:dyDescent="0.3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 s="1"/>
      <c r="T2734"/>
      <c r="U2734"/>
      <c r="V2734"/>
    </row>
    <row r="2735" spans="1:22" s="53" customFormat="1" x14ac:dyDescent="0.3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 s="1"/>
      <c r="T2735"/>
      <c r="U2735"/>
      <c r="V2735"/>
    </row>
    <row r="2736" spans="1:22" s="53" customFormat="1" x14ac:dyDescent="0.3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 s="1"/>
      <c r="T2736"/>
      <c r="U2736"/>
      <c r="V2736"/>
    </row>
    <row r="2737" spans="1:22" s="53" customFormat="1" x14ac:dyDescent="0.3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 s="1"/>
      <c r="T2737"/>
      <c r="U2737"/>
      <c r="V2737"/>
    </row>
    <row r="2738" spans="1:22" s="53" customFormat="1" x14ac:dyDescent="0.3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 s="1"/>
      <c r="T2738"/>
      <c r="U2738"/>
      <c r="V2738"/>
    </row>
    <row r="2739" spans="1:22" s="53" customFormat="1" x14ac:dyDescent="0.3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 s="1"/>
      <c r="T2739"/>
      <c r="U2739"/>
      <c r="V2739"/>
    </row>
    <row r="2740" spans="1:22" s="53" customFormat="1" x14ac:dyDescent="0.3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 s="1"/>
      <c r="T2740"/>
      <c r="U2740"/>
      <c r="V2740"/>
    </row>
    <row r="2741" spans="1:22" s="53" customFormat="1" x14ac:dyDescent="0.3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 s="1"/>
      <c r="T2741"/>
      <c r="U2741"/>
      <c r="V2741"/>
    </row>
    <row r="2742" spans="1:22" s="53" customFormat="1" x14ac:dyDescent="0.3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 s="1"/>
      <c r="T2742"/>
      <c r="U2742"/>
      <c r="V2742"/>
    </row>
    <row r="2743" spans="1:22" s="53" customFormat="1" x14ac:dyDescent="0.3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 s="1"/>
      <c r="T2743"/>
      <c r="U2743"/>
      <c r="V2743"/>
    </row>
    <row r="2744" spans="1:22" s="53" customFormat="1" x14ac:dyDescent="0.3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 s="1"/>
      <c r="T2744"/>
      <c r="U2744"/>
      <c r="V2744"/>
    </row>
    <row r="2745" spans="1:22" s="53" customFormat="1" x14ac:dyDescent="0.3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 s="1"/>
      <c r="T2745"/>
      <c r="U2745"/>
      <c r="V2745"/>
    </row>
    <row r="2746" spans="1:22" s="53" customFormat="1" x14ac:dyDescent="0.3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 s="1"/>
      <c r="T2746"/>
      <c r="U2746"/>
      <c r="V2746"/>
    </row>
    <row r="2747" spans="1:22" s="53" customFormat="1" x14ac:dyDescent="0.3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 s="1"/>
      <c r="T2747"/>
      <c r="U2747"/>
      <c r="V2747"/>
    </row>
    <row r="2748" spans="1:22" s="53" customFormat="1" x14ac:dyDescent="0.3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 s="1"/>
      <c r="T2748"/>
      <c r="U2748"/>
      <c r="V2748"/>
    </row>
    <row r="2749" spans="1:22" s="53" customFormat="1" x14ac:dyDescent="0.3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 s="1"/>
      <c r="T2749"/>
      <c r="U2749"/>
      <c r="V2749"/>
    </row>
    <row r="2750" spans="1:22" s="53" customFormat="1" x14ac:dyDescent="0.3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 s="1"/>
      <c r="T2750"/>
      <c r="U2750"/>
      <c r="V2750"/>
    </row>
    <row r="2751" spans="1:22" s="53" customFormat="1" x14ac:dyDescent="0.3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 s="1"/>
      <c r="T2751"/>
      <c r="U2751"/>
      <c r="V2751"/>
    </row>
    <row r="2752" spans="1:22" s="53" customFormat="1" x14ac:dyDescent="0.3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 s="1"/>
      <c r="T2752"/>
      <c r="U2752"/>
      <c r="V2752"/>
    </row>
    <row r="2753" spans="1:22" s="53" customFormat="1" x14ac:dyDescent="0.3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 s="1"/>
      <c r="T2753"/>
      <c r="U2753"/>
      <c r="V2753"/>
    </row>
    <row r="2754" spans="1:22" s="53" customFormat="1" x14ac:dyDescent="0.3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 s="1"/>
      <c r="T2754"/>
      <c r="U2754"/>
      <c r="V2754"/>
    </row>
    <row r="2755" spans="1:22" s="53" customFormat="1" x14ac:dyDescent="0.3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 s="1"/>
      <c r="T2755"/>
      <c r="U2755"/>
      <c r="V2755"/>
    </row>
    <row r="2756" spans="1:22" s="53" customFormat="1" x14ac:dyDescent="0.3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 s="1"/>
      <c r="T2756"/>
      <c r="U2756"/>
      <c r="V2756"/>
    </row>
    <row r="2757" spans="1:22" s="53" customFormat="1" x14ac:dyDescent="0.3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 s="1"/>
      <c r="T2757"/>
      <c r="U2757"/>
      <c r="V2757"/>
    </row>
    <row r="2758" spans="1:22" s="53" customFormat="1" x14ac:dyDescent="0.3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 s="1"/>
      <c r="T2758"/>
      <c r="U2758"/>
      <c r="V2758"/>
    </row>
    <row r="2759" spans="1:22" s="53" customFormat="1" x14ac:dyDescent="0.3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 s="1"/>
      <c r="T2759"/>
      <c r="U2759"/>
      <c r="V2759"/>
    </row>
    <row r="2760" spans="1:22" s="53" customFormat="1" x14ac:dyDescent="0.3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 s="1"/>
      <c r="T2760"/>
      <c r="U2760"/>
      <c r="V2760"/>
    </row>
    <row r="2761" spans="1:22" s="53" customFormat="1" x14ac:dyDescent="0.3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 s="1"/>
      <c r="T2761"/>
      <c r="U2761"/>
      <c r="V2761"/>
    </row>
    <row r="2762" spans="1:22" s="53" customFormat="1" x14ac:dyDescent="0.3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 s="1"/>
      <c r="T2762"/>
      <c r="U2762"/>
      <c r="V2762"/>
    </row>
    <row r="2763" spans="1:22" s="53" customFormat="1" x14ac:dyDescent="0.3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 s="1"/>
      <c r="T2763"/>
      <c r="U2763"/>
      <c r="V2763"/>
    </row>
    <row r="2764" spans="1:22" s="53" customFormat="1" x14ac:dyDescent="0.3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 s="1"/>
      <c r="T2764"/>
      <c r="U2764"/>
      <c r="V2764"/>
    </row>
    <row r="2765" spans="1:22" s="53" customFormat="1" x14ac:dyDescent="0.3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 s="1"/>
      <c r="T2765"/>
      <c r="U2765"/>
      <c r="V2765"/>
    </row>
    <row r="2766" spans="1:22" s="53" customFormat="1" x14ac:dyDescent="0.3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 s="1"/>
      <c r="T2766"/>
      <c r="U2766"/>
      <c r="V2766"/>
    </row>
    <row r="2767" spans="1:22" s="53" customFormat="1" x14ac:dyDescent="0.3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 s="1"/>
      <c r="T2767"/>
      <c r="U2767"/>
      <c r="V2767"/>
    </row>
    <row r="2768" spans="1:22" s="53" customFormat="1" x14ac:dyDescent="0.3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 s="1"/>
      <c r="T2768"/>
      <c r="U2768"/>
      <c r="V2768"/>
    </row>
    <row r="2769" spans="1:22" s="53" customFormat="1" x14ac:dyDescent="0.3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 s="1"/>
      <c r="T2769"/>
      <c r="U2769"/>
      <c r="V2769"/>
    </row>
    <row r="2770" spans="1:22" s="53" customFormat="1" x14ac:dyDescent="0.3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 s="1"/>
      <c r="T2770"/>
      <c r="U2770"/>
      <c r="V2770"/>
    </row>
    <row r="2771" spans="1:22" s="53" customFormat="1" x14ac:dyDescent="0.3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 s="1"/>
      <c r="T2771"/>
      <c r="U2771"/>
      <c r="V2771"/>
    </row>
    <row r="2772" spans="1:22" s="53" customFormat="1" x14ac:dyDescent="0.3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 s="1"/>
      <c r="T2772"/>
      <c r="U2772"/>
      <c r="V2772"/>
    </row>
    <row r="2773" spans="1:22" s="53" customFormat="1" x14ac:dyDescent="0.3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 s="1"/>
      <c r="T2773"/>
      <c r="U2773"/>
      <c r="V2773"/>
    </row>
    <row r="2774" spans="1:22" s="53" customFormat="1" x14ac:dyDescent="0.3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 s="1"/>
      <c r="T2774"/>
      <c r="U2774"/>
      <c r="V2774"/>
    </row>
    <row r="2775" spans="1:22" s="53" customFormat="1" x14ac:dyDescent="0.3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 s="1"/>
      <c r="T2775"/>
      <c r="U2775"/>
      <c r="V2775"/>
    </row>
    <row r="2776" spans="1:22" s="53" customFormat="1" x14ac:dyDescent="0.3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 s="1"/>
      <c r="T2776"/>
      <c r="U2776"/>
      <c r="V2776"/>
    </row>
    <row r="2777" spans="1:22" s="53" customFormat="1" x14ac:dyDescent="0.3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 s="1"/>
      <c r="T2777"/>
      <c r="U2777"/>
      <c r="V2777"/>
    </row>
    <row r="2778" spans="1:22" s="53" customFormat="1" x14ac:dyDescent="0.3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 s="1"/>
      <c r="T2778"/>
      <c r="U2778"/>
      <c r="V2778"/>
    </row>
    <row r="2779" spans="1:22" s="53" customFormat="1" x14ac:dyDescent="0.3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 s="1"/>
      <c r="T2779"/>
      <c r="U2779"/>
      <c r="V2779"/>
    </row>
    <row r="2780" spans="1:22" s="53" customFormat="1" x14ac:dyDescent="0.3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 s="1"/>
      <c r="T2780"/>
      <c r="U2780"/>
      <c r="V2780"/>
    </row>
    <row r="2781" spans="1:22" s="53" customFormat="1" x14ac:dyDescent="0.3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 s="1"/>
      <c r="T2781"/>
      <c r="U2781"/>
      <c r="V2781"/>
    </row>
    <row r="2782" spans="1:22" s="53" customFormat="1" x14ac:dyDescent="0.3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 s="1"/>
      <c r="T2782"/>
      <c r="U2782"/>
      <c r="V2782"/>
    </row>
    <row r="2783" spans="1:22" s="53" customFormat="1" x14ac:dyDescent="0.3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 s="1"/>
      <c r="T2783"/>
      <c r="U2783"/>
      <c r="V2783"/>
    </row>
    <row r="2784" spans="1:22" s="53" customFormat="1" x14ac:dyDescent="0.3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 s="1"/>
      <c r="T2784"/>
      <c r="U2784"/>
      <c r="V2784"/>
    </row>
    <row r="2785" spans="1:22" s="53" customFormat="1" x14ac:dyDescent="0.3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 s="1"/>
      <c r="T2785"/>
      <c r="U2785"/>
      <c r="V2785"/>
    </row>
    <row r="2786" spans="1:22" s="53" customFormat="1" x14ac:dyDescent="0.3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 s="1"/>
      <c r="T2786"/>
      <c r="U2786"/>
      <c r="V2786"/>
    </row>
    <row r="2787" spans="1:22" s="53" customFormat="1" x14ac:dyDescent="0.3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 s="1"/>
      <c r="T2787"/>
      <c r="U2787"/>
      <c r="V2787"/>
    </row>
    <row r="2788" spans="1:22" s="53" customFormat="1" x14ac:dyDescent="0.3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 s="1"/>
      <c r="T2788"/>
      <c r="U2788"/>
      <c r="V2788"/>
    </row>
    <row r="2789" spans="1:22" s="53" customFormat="1" x14ac:dyDescent="0.3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 s="1"/>
      <c r="T2789"/>
      <c r="U2789"/>
      <c r="V2789"/>
    </row>
    <row r="2790" spans="1:22" s="53" customFormat="1" x14ac:dyDescent="0.3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 s="1"/>
      <c r="T2790"/>
      <c r="U2790"/>
      <c r="V2790"/>
    </row>
    <row r="2791" spans="1:22" s="53" customFormat="1" x14ac:dyDescent="0.3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 s="1"/>
      <c r="T2791"/>
      <c r="U2791"/>
      <c r="V2791"/>
    </row>
    <row r="2792" spans="1:22" s="53" customFormat="1" x14ac:dyDescent="0.3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 s="1"/>
      <c r="T2792"/>
      <c r="U2792"/>
      <c r="V2792"/>
    </row>
    <row r="2793" spans="1:22" s="53" customFormat="1" x14ac:dyDescent="0.3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 s="1"/>
      <c r="T2793"/>
      <c r="U2793"/>
      <c r="V2793"/>
    </row>
    <row r="2794" spans="1:22" s="53" customFormat="1" x14ac:dyDescent="0.3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 s="1"/>
      <c r="T2794"/>
      <c r="U2794"/>
      <c r="V2794"/>
    </row>
    <row r="2795" spans="1:22" s="53" customFormat="1" x14ac:dyDescent="0.3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 s="1"/>
      <c r="T2795"/>
      <c r="U2795"/>
      <c r="V2795"/>
    </row>
    <row r="2796" spans="1:22" s="53" customFormat="1" x14ac:dyDescent="0.3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 s="1"/>
      <c r="T2796"/>
      <c r="U2796"/>
      <c r="V2796"/>
    </row>
    <row r="2797" spans="1:22" s="53" customFormat="1" x14ac:dyDescent="0.3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 s="1"/>
      <c r="T2797"/>
      <c r="U2797"/>
      <c r="V2797"/>
    </row>
    <row r="2798" spans="1:22" s="53" customFormat="1" x14ac:dyDescent="0.3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 s="1"/>
      <c r="T2798"/>
      <c r="U2798"/>
      <c r="V2798"/>
    </row>
    <row r="2799" spans="1:22" s="53" customFormat="1" x14ac:dyDescent="0.3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 s="1"/>
      <c r="T2799"/>
      <c r="U2799"/>
      <c r="V2799"/>
    </row>
    <row r="2800" spans="1:22" s="53" customFormat="1" x14ac:dyDescent="0.3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 s="1"/>
      <c r="T2800"/>
      <c r="U2800"/>
      <c r="V2800"/>
    </row>
    <row r="2801" spans="1:22" s="53" customFormat="1" x14ac:dyDescent="0.3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 s="1"/>
      <c r="T2801"/>
      <c r="U2801"/>
      <c r="V2801"/>
    </row>
    <row r="2802" spans="1:22" s="53" customFormat="1" x14ac:dyDescent="0.3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 s="1"/>
      <c r="T2802"/>
      <c r="U2802"/>
      <c r="V2802"/>
    </row>
    <row r="2803" spans="1:22" s="53" customFormat="1" x14ac:dyDescent="0.3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 s="1"/>
      <c r="T2803"/>
      <c r="U2803"/>
      <c r="V2803"/>
    </row>
    <row r="2804" spans="1:22" s="53" customFormat="1" x14ac:dyDescent="0.3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 s="1"/>
      <c r="T2804"/>
      <c r="U2804"/>
      <c r="V2804"/>
    </row>
    <row r="2805" spans="1:22" s="53" customFormat="1" x14ac:dyDescent="0.3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 s="1"/>
      <c r="T2805"/>
      <c r="U2805"/>
      <c r="V2805"/>
    </row>
    <row r="2806" spans="1:22" s="53" customFormat="1" x14ac:dyDescent="0.3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 s="1"/>
      <c r="T2806"/>
      <c r="U2806"/>
      <c r="V2806"/>
    </row>
    <row r="2807" spans="1:22" s="53" customFormat="1" x14ac:dyDescent="0.3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 s="1"/>
      <c r="T2807"/>
      <c r="U2807"/>
      <c r="V2807"/>
    </row>
    <row r="2808" spans="1:22" s="53" customFormat="1" x14ac:dyDescent="0.3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 s="1"/>
      <c r="T2808"/>
      <c r="U2808"/>
      <c r="V2808"/>
    </row>
    <row r="2809" spans="1:22" s="53" customFormat="1" x14ac:dyDescent="0.3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 s="1"/>
      <c r="T2809"/>
      <c r="U2809"/>
      <c r="V2809"/>
    </row>
    <row r="2810" spans="1:22" s="53" customFormat="1" x14ac:dyDescent="0.3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 s="1"/>
      <c r="T2810"/>
      <c r="U2810"/>
      <c r="V2810"/>
    </row>
    <row r="2811" spans="1:22" s="53" customFormat="1" x14ac:dyDescent="0.3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 s="1"/>
      <c r="T2811"/>
      <c r="U2811"/>
      <c r="V2811"/>
    </row>
    <row r="2812" spans="1:22" s="53" customFormat="1" x14ac:dyDescent="0.3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 s="1"/>
      <c r="T2812"/>
      <c r="U2812"/>
      <c r="V2812"/>
    </row>
    <row r="2813" spans="1:22" s="53" customFormat="1" x14ac:dyDescent="0.3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 s="1"/>
      <c r="T2813"/>
      <c r="U2813"/>
      <c r="V2813"/>
    </row>
    <row r="2814" spans="1:22" s="53" customFormat="1" x14ac:dyDescent="0.3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 s="1"/>
      <c r="T2814"/>
      <c r="U2814"/>
      <c r="V2814"/>
    </row>
    <row r="2815" spans="1:22" s="53" customFormat="1" x14ac:dyDescent="0.3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 s="1"/>
      <c r="T2815"/>
      <c r="U2815"/>
      <c r="V2815"/>
    </row>
    <row r="2816" spans="1:22" s="53" customFormat="1" x14ac:dyDescent="0.3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 s="1"/>
      <c r="T2816"/>
      <c r="U2816"/>
      <c r="V2816"/>
    </row>
    <row r="2817" spans="1:22" s="53" customFormat="1" x14ac:dyDescent="0.3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 s="1"/>
      <c r="T2817"/>
      <c r="U2817"/>
      <c r="V2817"/>
    </row>
    <row r="2818" spans="1:22" s="53" customFormat="1" x14ac:dyDescent="0.3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 s="1"/>
      <c r="T2818"/>
      <c r="U2818"/>
      <c r="V2818"/>
    </row>
    <row r="2819" spans="1:22" s="53" customFormat="1" x14ac:dyDescent="0.3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 s="1"/>
      <c r="T2819"/>
      <c r="U2819"/>
      <c r="V2819"/>
    </row>
    <row r="2820" spans="1:22" s="53" customFormat="1" x14ac:dyDescent="0.3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 s="1"/>
      <c r="T2820"/>
      <c r="U2820"/>
      <c r="V2820"/>
    </row>
    <row r="2821" spans="1:22" s="53" customFormat="1" x14ac:dyDescent="0.3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 s="1"/>
      <c r="T2821"/>
      <c r="U2821"/>
      <c r="V2821"/>
    </row>
    <row r="2822" spans="1:22" s="53" customFormat="1" x14ac:dyDescent="0.3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 s="1"/>
      <c r="T2822"/>
      <c r="U2822"/>
      <c r="V2822"/>
    </row>
    <row r="2823" spans="1:22" s="53" customFormat="1" x14ac:dyDescent="0.3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 s="1"/>
      <c r="T2823"/>
      <c r="U2823"/>
      <c r="V2823"/>
    </row>
    <row r="2824" spans="1:22" s="53" customFormat="1" x14ac:dyDescent="0.3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 s="1"/>
      <c r="T2824"/>
      <c r="U2824"/>
      <c r="V2824"/>
    </row>
    <row r="2825" spans="1:22" s="53" customFormat="1" x14ac:dyDescent="0.3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 s="1"/>
      <c r="T2825"/>
      <c r="U2825"/>
      <c r="V2825"/>
    </row>
    <row r="2826" spans="1:22" s="53" customFormat="1" x14ac:dyDescent="0.3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 s="1"/>
      <c r="T2826"/>
      <c r="U2826"/>
      <c r="V2826"/>
    </row>
    <row r="2827" spans="1:22" s="53" customFormat="1" x14ac:dyDescent="0.3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 s="1"/>
      <c r="T2827"/>
      <c r="U2827"/>
      <c r="V2827"/>
    </row>
    <row r="2828" spans="1:22" s="53" customFormat="1" x14ac:dyDescent="0.3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 s="1"/>
      <c r="T2828"/>
      <c r="U2828"/>
      <c r="V2828"/>
    </row>
    <row r="2829" spans="1:22" s="53" customFormat="1" x14ac:dyDescent="0.3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 s="1"/>
      <c r="T2829"/>
      <c r="U2829"/>
      <c r="V2829"/>
    </row>
    <row r="2830" spans="1:22" s="53" customFormat="1" x14ac:dyDescent="0.3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 s="1"/>
      <c r="T2830"/>
      <c r="U2830"/>
      <c r="V2830"/>
    </row>
    <row r="2831" spans="1:22" s="53" customFormat="1" x14ac:dyDescent="0.3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 s="1"/>
      <c r="T2831"/>
      <c r="U2831"/>
      <c r="V2831"/>
    </row>
    <row r="2832" spans="1:22" s="53" customFormat="1" x14ac:dyDescent="0.3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 s="1"/>
      <c r="T2832"/>
      <c r="U2832"/>
      <c r="V2832"/>
    </row>
    <row r="2833" spans="1:22" s="53" customFormat="1" x14ac:dyDescent="0.3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 s="1"/>
      <c r="T2833"/>
      <c r="U2833"/>
      <c r="V2833"/>
    </row>
    <row r="2834" spans="1:22" s="53" customFormat="1" x14ac:dyDescent="0.3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 s="1"/>
      <c r="T2834"/>
      <c r="U2834"/>
      <c r="V2834"/>
    </row>
    <row r="2835" spans="1:22" s="53" customFormat="1" x14ac:dyDescent="0.3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 s="1"/>
      <c r="T2835"/>
      <c r="U2835"/>
      <c r="V2835"/>
    </row>
    <row r="2836" spans="1:22" s="53" customFormat="1" x14ac:dyDescent="0.3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 s="1"/>
      <c r="T2836"/>
      <c r="U2836"/>
      <c r="V2836"/>
    </row>
    <row r="2837" spans="1:22" s="53" customFormat="1" x14ac:dyDescent="0.3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 s="1"/>
      <c r="T2837"/>
      <c r="U2837"/>
      <c r="V2837"/>
    </row>
    <row r="2838" spans="1:22" s="53" customFormat="1" x14ac:dyDescent="0.3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 s="1"/>
      <c r="T2838"/>
      <c r="U2838"/>
      <c r="V2838"/>
    </row>
    <row r="2839" spans="1:22" s="53" customFormat="1" x14ac:dyDescent="0.3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 s="1"/>
      <c r="T2839"/>
      <c r="U2839"/>
      <c r="V2839"/>
    </row>
    <row r="2840" spans="1:22" s="53" customFormat="1" x14ac:dyDescent="0.3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 s="1"/>
      <c r="T2840"/>
      <c r="U2840"/>
      <c r="V2840"/>
    </row>
    <row r="2841" spans="1:22" s="53" customFormat="1" x14ac:dyDescent="0.3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 s="1"/>
      <c r="T2841"/>
      <c r="U2841"/>
      <c r="V2841"/>
    </row>
    <row r="2842" spans="1:22" s="53" customFormat="1" x14ac:dyDescent="0.3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 s="1"/>
      <c r="T2842"/>
      <c r="U2842"/>
      <c r="V2842"/>
    </row>
    <row r="2843" spans="1:22" s="53" customFormat="1" x14ac:dyDescent="0.3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 s="1"/>
      <c r="T2843"/>
      <c r="U2843"/>
      <c r="V2843"/>
    </row>
    <row r="2844" spans="1:22" s="53" customFormat="1" x14ac:dyDescent="0.3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 s="1"/>
      <c r="T2844"/>
      <c r="U2844"/>
      <c r="V2844"/>
    </row>
    <row r="2845" spans="1:22" s="53" customFormat="1" x14ac:dyDescent="0.3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 s="1"/>
      <c r="T2845"/>
      <c r="U2845"/>
      <c r="V2845"/>
    </row>
    <row r="2846" spans="1:22" s="53" customFormat="1" x14ac:dyDescent="0.3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 s="1"/>
      <c r="T2846"/>
      <c r="U2846"/>
      <c r="V2846"/>
    </row>
    <row r="2847" spans="1:22" s="53" customFormat="1" x14ac:dyDescent="0.3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 s="1"/>
      <c r="T2847"/>
      <c r="U2847"/>
      <c r="V2847"/>
    </row>
    <row r="2848" spans="1:22" s="53" customFormat="1" x14ac:dyDescent="0.3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 s="1"/>
      <c r="T2848"/>
      <c r="U2848"/>
      <c r="V2848"/>
    </row>
    <row r="2849" spans="1:22" s="53" customFormat="1" x14ac:dyDescent="0.3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 s="1"/>
      <c r="T2849"/>
      <c r="U2849"/>
      <c r="V2849"/>
    </row>
    <row r="2850" spans="1:22" s="53" customFormat="1" x14ac:dyDescent="0.3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 s="1"/>
      <c r="T2850"/>
      <c r="U2850"/>
      <c r="V2850"/>
    </row>
    <row r="2851" spans="1:22" s="53" customFormat="1" x14ac:dyDescent="0.3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 s="1"/>
      <c r="T2851"/>
      <c r="U2851"/>
      <c r="V2851"/>
    </row>
    <row r="2852" spans="1:22" s="53" customFormat="1" x14ac:dyDescent="0.3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 s="1"/>
      <c r="T2852"/>
      <c r="U2852"/>
      <c r="V2852"/>
    </row>
    <row r="2853" spans="1:22" s="53" customFormat="1" x14ac:dyDescent="0.3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 s="1"/>
      <c r="T2853"/>
      <c r="U2853"/>
      <c r="V2853"/>
    </row>
    <row r="2854" spans="1:22" s="53" customFormat="1" x14ac:dyDescent="0.3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 s="1"/>
      <c r="T2854"/>
      <c r="U2854"/>
      <c r="V2854"/>
    </row>
    <row r="2855" spans="1:22" s="53" customFormat="1" x14ac:dyDescent="0.3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 s="1"/>
      <c r="T2855"/>
      <c r="U2855"/>
      <c r="V2855"/>
    </row>
    <row r="2856" spans="1:22" s="53" customFormat="1" x14ac:dyDescent="0.3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 s="1"/>
      <c r="T2856"/>
      <c r="U2856"/>
      <c r="V2856"/>
    </row>
    <row r="2857" spans="1:22" s="53" customFormat="1" x14ac:dyDescent="0.3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 s="1"/>
      <c r="T2857"/>
      <c r="U2857"/>
      <c r="V2857"/>
    </row>
    <row r="2858" spans="1:22" s="53" customFormat="1" x14ac:dyDescent="0.3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 s="1"/>
      <c r="T2858"/>
      <c r="U2858"/>
      <c r="V2858"/>
    </row>
    <row r="2859" spans="1:22" s="53" customFormat="1" x14ac:dyDescent="0.3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 s="1"/>
      <c r="T2859"/>
      <c r="U2859"/>
      <c r="V2859"/>
    </row>
    <row r="2860" spans="1:22" s="53" customFormat="1" x14ac:dyDescent="0.3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 s="1"/>
      <c r="T2860"/>
      <c r="U2860"/>
      <c r="V2860"/>
    </row>
    <row r="2861" spans="1:22" s="53" customFormat="1" x14ac:dyDescent="0.3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 s="1"/>
      <c r="T2861"/>
      <c r="U2861"/>
      <c r="V2861"/>
    </row>
    <row r="2862" spans="1:22" s="53" customFormat="1" x14ac:dyDescent="0.3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 s="1"/>
      <c r="T2862"/>
      <c r="U2862"/>
      <c r="V2862"/>
    </row>
    <row r="2863" spans="1:22" s="53" customFormat="1" x14ac:dyDescent="0.3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 s="1"/>
      <c r="T2863"/>
      <c r="U2863"/>
      <c r="V2863"/>
    </row>
    <row r="2864" spans="1:22" s="53" customFormat="1" x14ac:dyDescent="0.3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 s="1"/>
      <c r="T2864"/>
      <c r="U2864"/>
      <c r="V2864"/>
    </row>
    <row r="2865" spans="1:22" s="53" customFormat="1" x14ac:dyDescent="0.3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 s="1"/>
      <c r="T2865"/>
      <c r="U2865"/>
      <c r="V2865"/>
    </row>
    <row r="2866" spans="1:22" s="53" customFormat="1" x14ac:dyDescent="0.3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 s="1"/>
      <c r="T2866"/>
      <c r="U2866"/>
      <c r="V2866"/>
    </row>
    <row r="2867" spans="1:22" s="53" customFormat="1" x14ac:dyDescent="0.3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 s="1"/>
      <c r="T2867"/>
      <c r="U2867"/>
      <c r="V2867"/>
    </row>
    <row r="2868" spans="1:22" s="53" customFormat="1" x14ac:dyDescent="0.3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 s="1"/>
      <c r="T2868"/>
      <c r="U2868"/>
      <c r="V2868"/>
    </row>
    <row r="2869" spans="1:22" s="53" customFormat="1" x14ac:dyDescent="0.3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 s="1"/>
      <c r="T2869"/>
      <c r="U2869"/>
      <c r="V2869"/>
    </row>
    <row r="2870" spans="1:22" s="53" customFormat="1" x14ac:dyDescent="0.3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 s="1"/>
      <c r="T2870"/>
      <c r="U2870"/>
      <c r="V2870"/>
    </row>
    <row r="2871" spans="1:22" s="53" customFormat="1" x14ac:dyDescent="0.3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 s="1"/>
      <c r="T2871"/>
      <c r="U2871"/>
      <c r="V2871"/>
    </row>
    <row r="2872" spans="1:22" s="53" customFormat="1" x14ac:dyDescent="0.3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 s="1"/>
      <c r="T2872"/>
      <c r="U2872"/>
      <c r="V2872"/>
    </row>
    <row r="2873" spans="1:22" s="53" customFormat="1" x14ac:dyDescent="0.3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 s="1"/>
      <c r="T2873"/>
      <c r="U2873"/>
      <c r="V2873"/>
    </row>
    <row r="2874" spans="1:22" s="53" customFormat="1" x14ac:dyDescent="0.3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 s="1"/>
      <c r="T2874"/>
      <c r="U2874"/>
      <c r="V2874"/>
    </row>
    <row r="2875" spans="1:22" s="53" customFormat="1" x14ac:dyDescent="0.3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 s="1"/>
      <c r="T2875"/>
      <c r="U2875"/>
      <c r="V2875"/>
    </row>
    <row r="2876" spans="1:22" s="53" customFormat="1" x14ac:dyDescent="0.3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 s="1"/>
      <c r="T2876"/>
      <c r="U2876"/>
      <c r="V2876"/>
    </row>
    <row r="2877" spans="1:22" s="53" customFormat="1" x14ac:dyDescent="0.3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 s="1"/>
      <c r="T2877"/>
      <c r="U2877"/>
      <c r="V2877"/>
    </row>
    <row r="2878" spans="1:22" s="53" customFormat="1" x14ac:dyDescent="0.3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 s="1"/>
      <c r="T2878"/>
      <c r="U2878"/>
      <c r="V2878"/>
    </row>
    <row r="2879" spans="1:22" s="53" customFormat="1" x14ac:dyDescent="0.3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 s="1"/>
      <c r="T2879"/>
      <c r="U2879"/>
      <c r="V2879"/>
    </row>
    <row r="2880" spans="1:22" s="53" customFormat="1" x14ac:dyDescent="0.3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 s="1"/>
      <c r="T2880"/>
      <c r="U2880"/>
      <c r="V2880"/>
    </row>
    <row r="2881" spans="1:22" s="53" customFormat="1" x14ac:dyDescent="0.3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 s="1"/>
      <c r="T2881"/>
      <c r="U2881"/>
      <c r="V2881"/>
    </row>
    <row r="2882" spans="1:22" s="53" customFormat="1" x14ac:dyDescent="0.3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 s="1"/>
      <c r="T2882"/>
      <c r="U2882"/>
      <c r="V2882"/>
    </row>
    <row r="2883" spans="1:22" s="53" customFormat="1" x14ac:dyDescent="0.3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 s="1"/>
      <c r="T2883"/>
      <c r="U2883"/>
      <c r="V2883"/>
    </row>
    <row r="2884" spans="1:22" s="53" customFormat="1" x14ac:dyDescent="0.3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 s="1"/>
      <c r="T2884"/>
      <c r="U2884"/>
      <c r="V2884"/>
    </row>
    <row r="2885" spans="1:22" s="53" customFormat="1" x14ac:dyDescent="0.3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 s="1"/>
      <c r="T2885"/>
      <c r="U2885"/>
      <c r="V2885"/>
    </row>
    <row r="2886" spans="1:22" s="53" customFormat="1" x14ac:dyDescent="0.3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 s="1"/>
      <c r="T2886"/>
      <c r="U2886"/>
      <c r="V2886"/>
    </row>
    <row r="2887" spans="1:22" s="53" customFormat="1" x14ac:dyDescent="0.3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 s="1"/>
      <c r="T2887"/>
      <c r="U2887"/>
      <c r="V2887"/>
    </row>
    <row r="2888" spans="1:22" s="53" customFormat="1" x14ac:dyDescent="0.3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 s="1"/>
      <c r="T2888"/>
      <c r="U2888"/>
      <c r="V2888"/>
    </row>
    <row r="2889" spans="1:22" s="53" customFormat="1" x14ac:dyDescent="0.3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 s="1"/>
      <c r="T2889"/>
      <c r="U2889"/>
      <c r="V2889"/>
    </row>
    <row r="2890" spans="1:22" s="53" customFormat="1" x14ac:dyDescent="0.3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 s="1"/>
      <c r="T2890"/>
      <c r="U2890"/>
      <c r="V2890"/>
    </row>
    <row r="2891" spans="1:22" s="53" customFormat="1" x14ac:dyDescent="0.3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 s="1"/>
      <c r="T2891"/>
      <c r="U2891"/>
      <c r="V2891"/>
    </row>
    <row r="2892" spans="1:22" s="53" customFormat="1" x14ac:dyDescent="0.3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 s="1"/>
      <c r="T2892"/>
      <c r="U2892"/>
      <c r="V2892"/>
    </row>
    <row r="2893" spans="1:22" s="53" customFormat="1" x14ac:dyDescent="0.3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 s="1"/>
      <c r="T2893"/>
      <c r="U2893"/>
      <c r="V2893"/>
    </row>
    <row r="2894" spans="1:22" s="53" customFormat="1" x14ac:dyDescent="0.3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 s="1"/>
      <c r="T2894"/>
      <c r="U2894"/>
      <c r="V2894"/>
    </row>
    <row r="2895" spans="1:22" s="53" customFormat="1" x14ac:dyDescent="0.3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 s="1"/>
      <c r="T2895"/>
      <c r="U2895"/>
      <c r="V2895"/>
    </row>
    <row r="2896" spans="1:22" s="53" customFormat="1" x14ac:dyDescent="0.3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 s="1"/>
      <c r="T2896"/>
      <c r="U2896"/>
      <c r="V2896"/>
    </row>
    <row r="2897" spans="1:22" s="53" customFormat="1" x14ac:dyDescent="0.3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 s="1"/>
      <c r="T2897"/>
      <c r="U2897"/>
      <c r="V2897"/>
    </row>
    <row r="2898" spans="1:22" s="53" customFormat="1" x14ac:dyDescent="0.3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 s="1"/>
      <c r="T2898"/>
      <c r="U2898"/>
      <c r="V2898"/>
    </row>
    <row r="2899" spans="1:22" s="53" customFormat="1" x14ac:dyDescent="0.3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 s="1"/>
      <c r="T2899"/>
      <c r="U2899"/>
      <c r="V2899"/>
    </row>
    <row r="2900" spans="1:22" s="53" customFormat="1" x14ac:dyDescent="0.3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 s="1"/>
      <c r="T2900"/>
      <c r="U2900"/>
      <c r="V2900"/>
    </row>
    <row r="2901" spans="1:22" s="53" customFormat="1" x14ac:dyDescent="0.3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 s="1"/>
      <c r="T2901"/>
      <c r="U2901"/>
      <c r="V2901"/>
    </row>
    <row r="2902" spans="1:22" s="53" customFormat="1" x14ac:dyDescent="0.3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 s="1"/>
      <c r="T2902"/>
      <c r="U2902"/>
      <c r="V2902"/>
    </row>
    <row r="2903" spans="1:22" s="53" customFormat="1" x14ac:dyDescent="0.3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 s="1"/>
      <c r="T2903"/>
      <c r="U2903"/>
      <c r="V2903"/>
    </row>
    <row r="2904" spans="1:22" s="53" customFormat="1" x14ac:dyDescent="0.3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 s="1"/>
      <c r="T2904"/>
      <c r="U2904"/>
      <c r="V2904"/>
    </row>
    <row r="2905" spans="1:22" s="53" customFormat="1" x14ac:dyDescent="0.3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 s="1"/>
      <c r="T2905"/>
      <c r="U2905"/>
      <c r="V2905"/>
    </row>
    <row r="2906" spans="1:22" s="53" customFormat="1" x14ac:dyDescent="0.3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 s="1"/>
      <c r="T2906"/>
      <c r="U2906"/>
      <c r="V2906"/>
    </row>
    <row r="2907" spans="1:22" s="53" customFormat="1" x14ac:dyDescent="0.3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 s="1"/>
      <c r="T2907"/>
      <c r="U2907"/>
      <c r="V2907"/>
    </row>
    <row r="2908" spans="1:22" s="53" customFormat="1" x14ac:dyDescent="0.3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 s="1"/>
      <c r="T2908"/>
      <c r="U2908"/>
      <c r="V2908"/>
    </row>
    <row r="2909" spans="1:22" s="53" customFormat="1" x14ac:dyDescent="0.3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 s="1"/>
      <c r="T2909"/>
      <c r="U2909"/>
      <c r="V2909"/>
    </row>
    <row r="2910" spans="1:22" s="53" customFormat="1" x14ac:dyDescent="0.3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 s="1"/>
      <c r="T2910"/>
      <c r="U2910"/>
      <c r="V2910"/>
    </row>
    <row r="2911" spans="1:22" s="53" customFormat="1" x14ac:dyDescent="0.3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 s="1"/>
      <c r="T2911"/>
      <c r="U2911"/>
      <c r="V2911"/>
    </row>
    <row r="2912" spans="1:22" s="53" customFormat="1" x14ac:dyDescent="0.3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 s="1"/>
      <c r="T2912"/>
      <c r="U2912"/>
      <c r="V2912"/>
    </row>
    <row r="2913" spans="1:22" s="53" customFormat="1" x14ac:dyDescent="0.3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 s="1"/>
      <c r="T2913"/>
      <c r="U2913"/>
      <c r="V2913"/>
    </row>
    <row r="2914" spans="1:22" s="53" customFormat="1" x14ac:dyDescent="0.3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 s="1"/>
      <c r="T2914"/>
      <c r="U2914"/>
      <c r="V2914"/>
    </row>
    <row r="2915" spans="1:22" s="53" customFormat="1" x14ac:dyDescent="0.3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 s="1"/>
      <c r="T2915"/>
      <c r="U2915"/>
      <c r="V2915"/>
    </row>
    <row r="2916" spans="1:22" s="53" customFormat="1" x14ac:dyDescent="0.3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 s="1"/>
      <c r="T2916"/>
      <c r="U2916"/>
      <c r="V2916"/>
    </row>
    <row r="2917" spans="1:22" s="53" customFormat="1" x14ac:dyDescent="0.3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 s="1"/>
      <c r="T2917"/>
      <c r="U2917"/>
      <c r="V2917"/>
    </row>
    <row r="2918" spans="1:22" s="53" customFormat="1" x14ac:dyDescent="0.3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 s="1"/>
      <c r="T2918"/>
      <c r="U2918"/>
      <c r="V2918"/>
    </row>
    <row r="2919" spans="1:22" s="53" customFormat="1" x14ac:dyDescent="0.3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 s="1"/>
      <c r="T2919"/>
      <c r="U2919"/>
      <c r="V2919"/>
    </row>
    <row r="2920" spans="1:22" s="53" customFormat="1" x14ac:dyDescent="0.3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 s="1"/>
      <c r="T2920"/>
      <c r="U2920"/>
      <c r="V2920"/>
    </row>
    <row r="2921" spans="1:22" s="53" customFormat="1" x14ac:dyDescent="0.3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 s="1"/>
      <c r="T2921"/>
      <c r="U2921"/>
      <c r="V2921"/>
    </row>
    <row r="2922" spans="1:22" s="53" customFormat="1" x14ac:dyDescent="0.3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 s="1"/>
      <c r="T2922"/>
      <c r="U2922"/>
      <c r="V2922"/>
    </row>
    <row r="2923" spans="1:22" s="53" customFormat="1" x14ac:dyDescent="0.3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 s="1"/>
      <c r="T2923"/>
      <c r="U2923"/>
      <c r="V2923"/>
    </row>
    <row r="2924" spans="1:22" s="53" customFormat="1" x14ac:dyDescent="0.3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 s="1"/>
      <c r="T2924"/>
      <c r="U2924"/>
      <c r="V2924"/>
    </row>
    <row r="2925" spans="1:22" s="53" customFormat="1" x14ac:dyDescent="0.3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 s="1"/>
      <c r="T2925"/>
      <c r="U2925"/>
      <c r="V2925"/>
    </row>
    <row r="2926" spans="1:22" s="53" customFormat="1" x14ac:dyDescent="0.3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 s="1"/>
      <c r="T2926"/>
      <c r="U2926"/>
      <c r="V2926"/>
    </row>
    <row r="2927" spans="1:22" s="53" customFormat="1" x14ac:dyDescent="0.3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 s="1"/>
      <c r="T2927"/>
      <c r="U2927"/>
      <c r="V2927"/>
    </row>
    <row r="2928" spans="1:22" s="53" customFormat="1" x14ac:dyDescent="0.3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 s="1"/>
      <c r="T2928"/>
      <c r="U2928"/>
      <c r="V2928"/>
    </row>
    <row r="2929" spans="1:22" s="53" customFormat="1" x14ac:dyDescent="0.3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 s="1"/>
      <c r="T2929"/>
      <c r="U2929"/>
      <c r="V2929"/>
    </row>
    <row r="2930" spans="1:22" s="53" customFormat="1" x14ac:dyDescent="0.3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 s="1"/>
      <c r="T2930"/>
      <c r="U2930"/>
      <c r="V2930"/>
    </row>
    <row r="2931" spans="1:22" s="53" customFormat="1" x14ac:dyDescent="0.3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 s="1"/>
      <c r="T2931"/>
      <c r="U2931"/>
      <c r="V2931"/>
    </row>
    <row r="2932" spans="1:22" s="53" customFormat="1" x14ac:dyDescent="0.3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 s="1"/>
      <c r="T2932"/>
      <c r="U2932"/>
      <c r="V2932"/>
    </row>
    <row r="2933" spans="1:22" s="53" customFormat="1" x14ac:dyDescent="0.3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 s="1"/>
      <c r="T2933"/>
      <c r="U2933"/>
      <c r="V2933"/>
    </row>
    <row r="2934" spans="1:22" s="53" customFormat="1" x14ac:dyDescent="0.3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 s="1"/>
      <c r="T2934"/>
      <c r="U2934"/>
      <c r="V2934"/>
    </row>
    <row r="2935" spans="1:22" s="53" customFormat="1" x14ac:dyDescent="0.3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 s="1"/>
      <c r="T2935"/>
      <c r="U2935"/>
      <c r="V2935"/>
    </row>
    <row r="2936" spans="1:22" s="53" customFormat="1" x14ac:dyDescent="0.3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 s="1"/>
      <c r="T2936"/>
      <c r="U2936"/>
      <c r="V2936"/>
    </row>
    <row r="2937" spans="1:22" s="53" customFormat="1" x14ac:dyDescent="0.3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 s="1"/>
      <c r="T2937"/>
      <c r="U2937"/>
      <c r="V2937"/>
    </row>
    <row r="2938" spans="1:22" s="53" customFormat="1" x14ac:dyDescent="0.3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 s="1"/>
      <c r="T2938"/>
      <c r="U2938"/>
      <c r="V2938"/>
    </row>
    <row r="2939" spans="1:22" s="53" customFormat="1" x14ac:dyDescent="0.3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 s="1"/>
      <c r="T2939"/>
      <c r="U2939"/>
      <c r="V2939"/>
    </row>
    <row r="2940" spans="1:22" s="53" customFormat="1" x14ac:dyDescent="0.3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 s="1"/>
      <c r="T2940"/>
      <c r="U2940"/>
      <c r="V2940"/>
    </row>
    <row r="2941" spans="1:22" s="53" customFormat="1" x14ac:dyDescent="0.3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 s="1"/>
      <c r="T2941"/>
      <c r="U2941"/>
      <c r="V2941"/>
    </row>
    <row r="2942" spans="1:22" s="53" customFormat="1" x14ac:dyDescent="0.3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 s="1"/>
      <c r="T2942"/>
      <c r="U2942"/>
      <c r="V2942"/>
    </row>
    <row r="2943" spans="1:22" s="53" customFormat="1" x14ac:dyDescent="0.3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 s="1"/>
      <c r="T2943"/>
      <c r="U2943"/>
      <c r="V2943"/>
    </row>
    <row r="2944" spans="1:22" s="53" customFormat="1" x14ac:dyDescent="0.3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 s="1"/>
      <c r="T2944"/>
      <c r="U2944"/>
      <c r="V2944"/>
    </row>
    <row r="2945" spans="1:22" s="53" customFormat="1" x14ac:dyDescent="0.3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 s="1"/>
      <c r="T2945"/>
      <c r="U2945"/>
      <c r="V2945"/>
    </row>
    <row r="2946" spans="1:22" s="53" customFormat="1" x14ac:dyDescent="0.3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 s="1"/>
      <c r="T2946"/>
      <c r="U2946"/>
      <c r="V2946"/>
    </row>
    <row r="2947" spans="1:22" s="53" customFormat="1" x14ac:dyDescent="0.3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 s="1"/>
      <c r="T2947"/>
      <c r="U2947"/>
      <c r="V2947"/>
    </row>
    <row r="2948" spans="1:22" s="53" customFormat="1" x14ac:dyDescent="0.3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 s="1"/>
      <c r="T2948"/>
      <c r="U2948"/>
      <c r="V2948"/>
    </row>
    <row r="2949" spans="1:22" s="53" customFormat="1" x14ac:dyDescent="0.3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 s="1"/>
      <c r="T2949"/>
      <c r="U2949"/>
      <c r="V2949"/>
    </row>
    <row r="2950" spans="1:22" s="53" customFormat="1" x14ac:dyDescent="0.3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 s="1"/>
      <c r="T2950"/>
      <c r="U2950"/>
      <c r="V2950"/>
    </row>
    <row r="2951" spans="1:22" s="53" customFormat="1" x14ac:dyDescent="0.3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 s="1"/>
      <c r="T2951"/>
      <c r="U2951"/>
      <c r="V2951"/>
    </row>
    <row r="2952" spans="1:22" s="53" customFormat="1" x14ac:dyDescent="0.3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 s="1"/>
      <c r="T2952"/>
      <c r="U2952"/>
      <c r="V2952"/>
    </row>
    <row r="2953" spans="1:22" s="53" customFormat="1" x14ac:dyDescent="0.3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 s="1"/>
      <c r="T2953"/>
      <c r="U2953"/>
      <c r="V2953"/>
    </row>
    <row r="2954" spans="1:22" s="53" customFormat="1" x14ac:dyDescent="0.3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 s="1"/>
      <c r="T2954"/>
      <c r="U2954"/>
      <c r="V2954"/>
    </row>
    <row r="2955" spans="1:22" s="53" customFormat="1" x14ac:dyDescent="0.3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 s="1"/>
      <c r="T2955"/>
      <c r="U2955"/>
      <c r="V2955"/>
    </row>
    <row r="2956" spans="1:22" s="53" customFormat="1" x14ac:dyDescent="0.3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 s="1"/>
      <c r="T2956"/>
      <c r="U2956"/>
      <c r="V2956"/>
    </row>
    <row r="2957" spans="1:22" s="53" customFormat="1" x14ac:dyDescent="0.3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 s="1"/>
      <c r="T2957"/>
      <c r="U2957"/>
      <c r="V2957"/>
    </row>
    <row r="2958" spans="1:22" s="53" customFormat="1" x14ac:dyDescent="0.3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 s="1"/>
      <c r="T2958"/>
      <c r="U2958"/>
      <c r="V2958"/>
    </row>
    <row r="2959" spans="1:22" s="53" customFormat="1" x14ac:dyDescent="0.3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 s="1"/>
      <c r="T2959"/>
      <c r="U2959"/>
      <c r="V2959"/>
    </row>
    <row r="2960" spans="1:22" s="53" customFormat="1" x14ac:dyDescent="0.3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 s="1"/>
      <c r="T2960"/>
      <c r="U2960"/>
      <c r="V2960"/>
    </row>
    <row r="2961" spans="1:22" s="53" customFormat="1" x14ac:dyDescent="0.3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 s="1"/>
      <c r="T2961"/>
      <c r="U2961"/>
      <c r="V2961"/>
    </row>
    <row r="2962" spans="1:22" s="53" customFormat="1" x14ac:dyDescent="0.3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 s="1"/>
      <c r="T2962"/>
      <c r="U2962"/>
      <c r="V2962"/>
    </row>
    <row r="2963" spans="1:22" s="53" customFormat="1" x14ac:dyDescent="0.3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 s="1"/>
      <c r="T2963"/>
      <c r="U2963"/>
      <c r="V2963"/>
    </row>
    <row r="2964" spans="1:22" s="53" customFormat="1" x14ac:dyDescent="0.3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 s="1"/>
      <c r="T2964"/>
      <c r="U2964"/>
      <c r="V2964"/>
    </row>
    <row r="2965" spans="1:22" s="53" customFormat="1" x14ac:dyDescent="0.3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 s="1"/>
      <c r="T2965"/>
      <c r="U2965"/>
      <c r="V2965"/>
    </row>
    <row r="2966" spans="1:22" s="53" customFormat="1" x14ac:dyDescent="0.3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 s="1"/>
      <c r="T2966"/>
      <c r="U2966"/>
      <c r="V2966"/>
    </row>
    <row r="2967" spans="1:22" s="53" customFormat="1" x14ac:dyDescent="0.3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 s="1"/>
      <c r="T2967"/>
      <c r="U2967"/>
      <c r="V2967"/>
    </row>
    <row r="2968" spans="1:22" s="53" customFormat="1" x14ac:dyDescent="0.3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 s="1"/>
      <c r="T2968"/>
      <c r="U2968"/>
      <c r="V2968"/>
    </row>
    <row r="2969" spans="1:22" s="53" customFormat="1" x14ac:dyDescent="0.3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 s="1"/>
      <c r="T2969"/>
      <c r="U2969"/>
      <c r="V2969"/>
    </row>
    <row r="2970" spans="1:22" s="53" customFormat="1" x14ac:dyDescent="0.3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 s="1"/>
      <c r="T2970"/>
      <c r="U2970"/>
      <c r="V2970"/>
    </row>
    <row r="2971" spans="1:22" s="53" customFormat="1" x14ac:dyDescent="0.3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 s="1"/>
      <c r="T2971"/>
      <c r="U2971"/>
      <c r="V2971"/>
    </row>
    <row r="2972" spans="1:22" s="53" customFormat="1" x14ac:dyDescent="0.3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 s="1"/>
      <c r="T2972"/>
      <c r="U2972"/>
      <c r="V2972"/>
    </row>
    <row r="2973" spans="1:22" s="53" customFormat="1" x14ac:dyDescent="0.3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 s="1"/>
      <c r="T2973"/>
      <c r="U2973"/>
      <c r="V2973"/>
    </row>
    <row r="2974" spans="1:22" s="53" customFormat="1" x14ac:dyDescent="0.3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 s="1"/>
      <c r="T2974"/>
      <c r="U2974"/>
      <c r="V2974"/>
    </row>
    <row r="2975" spans="1:22" s="53" customFormat="1" x14ac:dyDescent="0.3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 s="1"/>
      <c r="T2975"/>
      <c r="U2975"/>
      <c r="V2975"/>
    </row>
    <row r="2976" spans="1:22" s="53" customFormat="1" x14ac:dyDescent="0.3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 s="1"/>
      <c r="T2976"/>
      <c r="U2976"/>
      <c r="V2976"/>
    </row>
    <row r="2977" spans="1:22" s="53" customFormat="1" x14ac:dyDescent="0.3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 s="1"/>
      <c r="T2977"/>
      <c r="U2977"/>
      <c r="V2977"/>
    </row>
    <row r="2978" spans="1:22" s="53" customFormat="1" x14ac:dyDescent="0.3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 s="1"/>
      <c r="T2978"/>
      <c r="U2978"/>
      <c r="V2978"/>
    </row>
    <row r="2979" spans="1:22" s="53" customFormat="1" x14ac:dyDescent="0.3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 s="1"/>
      <c r="T2979"/>
      <c r="U2979"/>
      <c r="V2979"/>
    </row>
    <row r="2980" spans="1:22" s="53" customFormat="1" x14ac:dyDescent="0.3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 s="1"/>
      <c r="T2980"/>
      <c r="U2980"/>
      <c r="V2980"/>
    </row>
    <row r="2981" spans="1:22" s="53" customFormat="1" x14ac:dyDescent="0.3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 s="1"/>
      <c r="T2981"/>
      <c r="U2981"/>
      <c r="V2981"/>
    </row>
    <row r="2982" spans="1:22" s="53" customFormat="1" x14ac:dyDescent="0.3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 s="1"/>
      <c r="T2982"/>
      <c r="U2982"/>
      <c r="V2982"/>
    </row>
    <row r="2983" spans="1:22" s="53" customFormat="1" x14ac:dyDescent="0.3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 s="1"/>
      <c r="T2983"/>
      <c r="U2983"/>
      <c r="V2983"/>
    </row>
    <row r="2984" spans="1:22" s="53" customFormat="1" x14ac:dyDescent="0.3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 s="1"/>
      <c r="T2984"/>
      <c r="U2984"/>
      <c r="V2984"/>
    </row>
    <row r="2985" spans="1:22" s="53" customFormat="1" x14ac:dyDescent="0.3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 s="1"/>
      <c r="T2985"/>
      <c r="U2985"/>
      <c r="V2985"/>
    </row>
    <row r="2986" spans="1:22" s="53" customFormat="1" x14ac:dyDescent="0.3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 s="1"/>
      <c r="T2986"/>
      <c r="U2986"/>
      <c r="V2986"/>
    </row>
    <row r="2987" spans="1:22" s="53" customFormat="1" x14ac:dyDescent="0.3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 s="1"/>
      <c r="T2987"/>
      <c r="U2987"/>
      <c r="V2987"/>
    </row>
    <row r="2988" spans="1:22" s="53" customFormat="1" x14ac:dyDescent="0.3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 s="1"/>
      <c r="T2988"/>
      <c r="U2988"/>
      <c r="V2988"/>
    </row>
    <row r="2989" spans="1:22" s="53" customFormat="1" x14ac:dyDescent="0.3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 s="1"/>
      <c r="T2989"/>
      <c r="U2989"/>
      <c r="V2989"/>
    </row>
    <row r="2990" spans="1:22" s="53" customFormat="1" x14ac:dyDescent="0.3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 s="1"/>
      <c r="T2990"/>
      <c r="U2990"/>
      <c r="V2990"/>
    </row>
    <row r="2991" spans="1:22" s="53" customFormat="1" x14ac:dyDescent="0.3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 s="1"/>
      <c r="T2991"/>
      <c r="U2991"/>
      <c r="V2991"/>
    </row>
    <row r="2992" spans="1:22" s="53" customFormat="1" x14ac:dyDescent="0.3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 s="1"/>
      <c r="T2992"/>
      <c r="U2992"/>
      <c r="V2992"/>
    </row>
    <row r="2993" spans="1:22" s="53" customFormat="1" x14ac:dyDescent="0.3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 s="1"/>
      <c r="T2993"/>
      <c r="U2993"/>
      <c r="V2993"/>
    </row>
    <row r="2994" spans="1:22" s="53" customFormat="1" x14ac:dyDescent="0.3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 s="1"/>
      <c r="T2994"/>
      <c r="U2994"/>
      <c r="V2994"/>
    </row>
    <row r="2995" spans="1:22" s="53" customFormat="1" x14ac:dyDescent="0.3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 s="1"/>
      <c r="T2995"/>
      <c r="U2995"/>
      <c r="V2995"/>
    </row>
    <row r="2996" spans="1:22" s="53" customFormat="1" x14ac:dyDescent="0.3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 s="1"/>
      <c r="T2996"/>
      <c r="U2996"/>
      <c r="V2996"/>
    </row>
    <row r="2997" spans="1:22" s="53" customFormat="1" x14ac:dyDescent="0.3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 s="1"/>
      <c r="T2997"/>
      <c r="U2997"/>
      <c r="V2997"/>
    </row>
    <row r="2998" spans="1:22" s="53" customFormat="1" x14ac:dyDescent="0.3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 s="1"/>
      <c r="T2998"/>
      <c r="U2998"/>
      <c r="V2998"/>
    </row>
    <row r="2999" spans="1:22" s="53" customFormat="1" x14ac:dyDescent="0.3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 s="1"/>
      <c r="T2999"/>
      <c r="U2999"/>
      <c r="V2999"/>
    </row>
    <row r="3000" spans="1:22" s="53" customFormat="1" x14ac:dyDescent="0.3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 s="1"/>
      <c r="T3000"/>
      <c r="U3000"/>
      <c r="V3000"/>
    </row>
    <row r="3001" spans="1:22" s="53" customFormat="1" x14ac:dyDescent="0.3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 s="1"/>
      <c r="T3001"/>
      <c r="U3001"/>
      <c r="V3001"/>
    </row>
    <row r="3002" spans="1:22" s="53" customFormat="1" x14ac:dyDescent="0.3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 s="1"/>
      <c r="T3002"/>
      <c r="U3002"/>
      <c r="V3002"/>
    </row>
    <row r="3003" spans="1:22" s="53" customFormat="1" x14ac:dyDescent="0.3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 s="1"/>
      <c r="T3003"/>
      <c r="U3003"/>
      <c r="V3003"/>
    </row>
    <row r="3004" spans="1:22" s="53" customFormat="1" x14ac:dyDescent="0.3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 s="1"/>
      <c r="T3004"/>
      <c r="U3004"/>
      <c r="V3004"/>
    </row>
    <row r="3005" spans="1:22" s="53" customFormat="1" x14ac:dyDescent="0.3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 s="1"/>
      <c r="T3005"/>
      <c r="U3005"/>
      <c r="V3005"/>
    </row>
    <row r="3006" spans="1:22" s="53" customFormat="1" x14ac:dyDescent="0.3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 s="1"/>
      <c r="T3006"/>
      <c r="U3006"/>
      <c r="V3006"/>
    </row>
    <row r="3007" spans="1:22" s="53" customFormat="1" x14ac:dyDescent="0.3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 s="1"/>
      <c r="T3007"/>
      <c r="U3007"/>
      <c r="V3007"/>
    </row>
    <row r="3008" spans="1:22" s="53" customFormat="1" x14ac:dyDescent="0.3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 s="1"/>
      <c r="T3008"/>
      <c r="U3008"/>
      <c r="V3008"/>
    </row>
    <row r="3009" spans="1:22" s="53" customFormat="1" x14ac:dyDescent="0.3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 s="1"/>
      <c r="T3009"/>
      <c r="U3009"/>
      <c r="V3009"/>
    </row>
    <row r="3010" spans="1:22" s="53" customFormat="1" x14ac:dyDescent="0.3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 s="1"/>
      <c r="T3010"/>
      <c r="U3010"/>
      <c r="V3010"/>
    </row>
    <row r="3011" spans="1:22" s="53" customFormat="1" x14ac:dyDescent="0.3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 s="1"/>
      <c r="T3011"/>
      <c r="U3011"/>
      <c r="V3011"/>
    </row>
    <row r="3012" spans="1:22" s="53" customFormat="1" x14ac:dyDescent="0.3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 s="1"/>
      <c r="T3012"/>
      <c r="U3012"/>
      <c r="V3012"/>
    </row>
    <row r="3013" spans="1:22" s="53" customFormat="1" x14ac:dyDescent="0.3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 s="1"/>
      <c r="T3013"/>
      <c r="U3013"/>
      <c r="V3013"/>
    </row>
    <row r="3014" spans="1:22" s="53" customFormat="1" x14ac:dyDescent="0.3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 s="1"/>
      <c r="T3014"/>
      <c r="U3014"/>
      <c r="V3014"/>
    </row>
    <row r="3015" spans="1:22" s="53" customFormat="1" x14ac:dyDescent="0.3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 s="1"/>
      <c r="T3015"/>
      <c r="U3015"/>
      <c r="V3015"/>
    </row>
    <row r="3016" spans="1:22" s="53" customFormat="1" x14ac:dyDescent="0.3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 s="1"/>
      <c r="T3016"/>
      <c r="U3016"/>
      <c r="V3016"/>
    </row>
    <row r="3017" spans="1:22" s="53" customFormat="1" x14ac:dyDescent="0.3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 s="1"/>
      <c r="T3017"/>
      <c r="U3017"/>
      <c r="V3017"/>
    </row>
    <row r="3018" spans="1:22" s="53" customFormat="1" x14ac:dyDescent="0.3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 s="1"/>
      <c r="T3018"/>
      <c r="U3018"/>
      <c r="V3018"/>
    </row>
    <row r="3019" spans="1:22" s="53" customFormat="1" x14ac:dyDescent="0.3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 s="1"/>
      <c r="T3019"/>
      <c r="U3019"/>
      <c r="V3019"/>
    </row>
    <row r="3020" spans="1:22" s="53" customFormat="1" x14ac:dyDescent="0.3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 s="1"/>
      <c r="T3020"/>
      <c r="U3020"/>
      <c r="V3020"/>
    </row>
    <row r="3021" spans="1:22" s="53" customFormat="1" x14ac:dyDescent="0.3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 s="1"/>
      <c r="T3021"/>
      <c r="U3021"/>
      <c r="V3021"/>
    </row>
    <row r="3022" spans="1:22" s="53" customFormat="1" x14ac:dyDescent="0.3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 s="1"/>
      <c r="T3022"/>
      <c r="U3022"/>
      <c r="V3022"/>
    </row>
    <row r="3023" spans="1:22" s="53" customFormat="1" x14ac:dyDescent="0.3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 s="1"/>
      <c r="T3023"/>
      <c r="U3023"/>
      <c r="V3023"/>
    </row>
    <row r="3024" spans="1:22" s="53" customFormat="1" x14ac:dyDescent="0.3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 s="1"/>
      <c r="T3024"/>
      <c r="U3024"/>
      <c r="V3024"/>
    </row>
    <row r="3025" spans="1:22" s="53" customFormat="1" x14ac:dyDescent="0.3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 s="1"/>
      <c r="T3025"/>
      <c r="U3025"/>
      <c r="V3025"/>
    </row>
    <row r="3026" spans="1:22" s="53" customFormat="1" x14ac:dyDescent="0.3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 s="1"/>
      <c r="T3026"/>
      <c r="U3026"/>
      <c r="V3026"/>
    </row>
    <row r="3027" spans="1:22" s="53" customFormat="1" x14ac:dyDescent="0.3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 s="1"/>
      <c r="T3027"/>
      <c r="U3027"/>
      <c r="V3027"/>
    </row>
    <row r="3028" spans="1:22" s="53" customFormat="1" x14ac:dyDescent="0.3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 s="1"/>
      <c r="T3028"/>
      <c r="U3028"/>
      <c r="V3028"/>
    </row>
    <row r="3029" spans="1:22" s="53" customFormat="1" x14ac:dyDescent="0.3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 s="1"/>
      <c r="T3029"/>
      <c r="U3029"/>
      <c r="V3029"/>
    </row>
    <row r="3030" spans="1:22" s="53" customFormat="1" x14ac:dyDescent="0.35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 s="1"/>
      <c r="T3030"/>
      <c r="U3030"/>
      <c r="V3030"/>
    </row>
    <row r="3031" spans="1:22" s="53" customFormat="1" x14ac:dyDescent="0.35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 s="1"/>
      <c r="T3031"/>
      <c r="U3031"/>
      <c r="V3031"/>
    </row>
    <row r="3032" spans="1:22" s="53" customFormat="1" x14ac:dyDescent="0.35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 s="1"/>
      <c r="T3032"/>
      <c r="U3032"/>
      <c r="V3032"/>
    </row>
    <row r="3033" spans="1:22" s="53" customFormat="1" x14ac:dyDescent="0.35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 s="1"/>
      <c r="T3033"/>
      <c r="U3033"/>
      <c r="V3033"/>
    </row>
    <row r="3034" spans="1:22" s="53" customFormat="1" x14ac:dyDescent="0.35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 s="1"/>
      <c r="T3034"/>
      <c r="U3034"/>
      <c r="V3034"/>
    </row>
    <row r="3035" spans="1:22" s="53" customFormat="1" x14ac:dyDescent="0.35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 s="1"/>
      <c r="T3035"/>
      <c r="U3035"/>
      <c r="V3035"/>
    </row>
    <row r="3036" spans="1:22" s="53" customFormat="1" x14ac:dyDescent="0.35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 s="1"/>
      <c r="T3036"/>
      <c r="U3036"/>
      <c r="V3036"/>
    </row>
    <row r="3037" spans="1:22" s="53" customFormat="1" x14ac:dyDescent="0.35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 s="1"/>
      <c r="T3037"/>
      <c r="U3037"/>
      <c r="V3037"/>
    </row>
    <row r="3038" spans="1:22" s="53" customFormat="1" x14ac:dyDescent="0.35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 s="1"/>
      <c r="T3038"/>
      <c r="U3038"/>
      <c r="V3038"/>
    </row>
    <row r="3039" spans="1:22" s="53" customFormat="1" x14ac:dyDescent="0.35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 s="1"/>
      <c r="T3039"/>
      <c r="U3039"/>
      <c r="V3039"/>
    </row>
    <row r="3040" spans="1:22" s="53" customFormat="1" x14ac:dyDescent="0.35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 s="1"/>
      <c r="T3040"/>
      <c r="U3040"/>
      <c r="V3040"/>
    </row>
    <row r="3041" spans="1:22" s="53" customFormat="1" x14ac:dyDescent="0.35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 s="1"/>
      <c r="T3041"/>
      <c r="U3041"/>
      <c r="V3041"/>
    </row>
    <row r="3042" spans="1:22" s="53" customFormat="1" x14ac:dyDescent="0.35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 s="1"/>
      <c r="T3042"/>
      <c r="U3042"/>
      <c r="V3042"/>
    </row>
    <row r="3043" spans="1:22" s="53" customFormat="1" x14ac:dyDescent="0.35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 s="1"/>
      <c r="T3043"/>
      <c r="U3043"/>
      <c r="V3043"/>
    </row>
    <row r="3044" spans="1:22" s="53" customFormat="1" x14ac:dyDescent="0.35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 s="1"/>
      <c r="T3044"/>
      <c r="U3044"/>
      <c r="V3044"/>
    </row>
    <row r="3045" spans="1:22" s="53" customFormat="1" x14ac:dyDescent="0.3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 s="1"/>
      <c r="T3045"/>
      <c r="U3045"/>
      <c r="V3045"/>
    </row>
    <row r="3046" spans="1:22" s="53" customFormat="1" x14ac:dyDescent="0.35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 s="1"/>
      <c r="T3046"/>
      <c r="U3046"/>
      <c r="V3046"/>
    </row>
    <row r="3047" spans="1:22" s="53" customFormat="1" x14ac:dyDescent="0.35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 s="1"/>
      <c r="T3047"/>
      <c r="U3047"/>
      <c r="V3047"/>
    </row>
    <row r="3048" spans="1:22" s="53" customFormat="1" x14ac:dyDescent="0.35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 s="1"/>
      <c r="T3048"/>
      <c r="U3048"/>
      <c r="V3048"/>
    </row>
    <row r="3049" spans="1:22" s="53" customFormat="1" x14ac:dyDescent="0.35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 s="1"/>
      <c r="T3049"/>
      <c r="U3049"/>
      <c r="V3049"/>
    </row>
    <row r="3050" spans="1:22" s="53" customFormat="1" x14ac:dyDescent="0.35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 s="1"/>
      <c r="T3050"/>
      <c r="U3050"/>
      <c r="V3050"/>
    </row>
    <row r="3051" spans="1:22" s="53" customFormat="1" x14ac:dyDescent="0.35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 s="1"/>
      <c r="T3051"/>
      <c r="U3051"/>
      <c r="V3051"/>
    </row>
    <row r="3052" spans="1:22" s="53" customFormat="1" x14ac:dyDescent="0.35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 s="1"/>
      <c r="T3052"/>
      <c r="U3052"/>
      <c r="V3052"/>
    </row>
    <row r="3053" spans="1:22" s="53" customFormat="1" x14ac:dyDescent="0.35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 s="1"/>
      <c r="T3053"/>
      <c r="U3053"/>
      <c r="V3053"/>
    </row>
    <row r="3054" spans="1:22" s="53" customFormat="1" x14ac:dyDescent="0.35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 s="1"/>
      <c r="T3054"/>
      <c r="U3054"/>
      <c r="V3054"/>
    </row>
    <row r="3055" spans="1:22" s="53" customFormat="1" x14ac:dyDescent="0.3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 s="1"/>
      <c r="T3055"/>
      <c r="U3055"/>
      <c r="V3055"/>
    </row>
    <row r="3056" spans="1:22" s="53" customFormat="1" x14ac:dyDescent="0.35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 s="1"/>
      <c r="T3056"/>
      <c r="U3056"/>
      <c r="V3056"/>
    </row>
    <row r="3057" spans="1:22" s="53" customFormat="1" x14ac:dyDescent="0.35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 s="1"/>
      <c r="T3057"/>
      <c r="U3057"/>
      <c r="V3057"/>
    </row>
    <row r="3058" spans="1:22" s="53" customFormat="1" x14ac:dyDescent="0.35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 s="1"/>
      <c r="T3058"/>
      <c r="U3058"/>
      <c r="V3058"/>
    </row>
    <row r="3059" spans="1:22" s="53" customFormat="1" x14ac:dyDescent="0.35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 s="1"/>
      <c r="T3059"/>
      <c r="U3059"/>
      <c r="V3059"/>
    </row>
    <row r="3060" spans="1:22" s="53" customFormat="1" x14ac:dyDescent="0.35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 s="1"/>
      <c r="T3060"/>
      <c r="U3060"/>
      <c r="V3060"/>
    </row>
    <row r="3061" spans="1:22" s="53" customFormat="1" x14ac:dyDescent="0.35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 s="1"/>
      <c r="T3061"/>
      <c r="U3061"/>
      <c r="V3061"/>
    </row>
    <row r="3062" spans="1:22" s="53" customFormat="1" x14ac:dyDescent="0.35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 s="1"/>
      <c r="T3062"/>
      <c r="U3062"/>
      <c r="V3062"/>
    </row>
    <row r="3063" spans="1:22" s="53" customFormat="1" x14ac:dyDescent="0.35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 s="1"/>
      <c r="T3063"/>
      <c r="U3063"/>
      <c r="V3063"/>
    </row>
    <row r="3064" spans="1:22" s="53" customFormat="1" x14ac:dyDescent="0.35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 s="1"/>
      <c r="T3064"/>
      <c r="U3064"/>
      <c r="V3064"/>
    </row>
    <row r="3065" spans="1:22" s="53" customFormat="1" x14ac:dyDescent="0.3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 s="1"/>
      <c r="T3065"/>
      <c r="U3065"/>
      <c r="V3065"/>
    </row>
    <row r="3066" spans="1:22" s="53" customFormat="1" x14ac:dyDescent="0.35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 s="1"/>
      <c r="T3066"/>
      <c r="U3066"/>
      <c r="V3066"/>
    </row>
    <row r="3067" spans="1:22" s="53" customFormat="1" x14ac:dyDescent="0.35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 s="1"/>
      <c r="T3067"/>
      <c r="U3067"/>
      <c r="V3067"/>
    </row>
    <row r="3068" spans="1:22" s="53" customFormat="1" x14ac:dyDescent="0.35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 s="1"/>
      <c r="T3068"/>
      <c r="U3068"/>
      <c r="V3068"/>
    </row>
    <row r="3069" spans="1:22" s="53" customFormat="1" x14ac:dyDescent="0.35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 s="1"/>
      <c r="T3069"/>
      <c r="U3069"/>
      <c r="V3069"/>
    </row>
    <row r="3070" spans="1:22" s="53" customFormat="1" x14ac:dyDescent="0.35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 s="1"/>
      <c r="T3070"/>
      <c r="U3070"/>
      <c r="V3070"/>
    </row>
    <row r="3071" spans="1:22" s="53" customFormat="1" x14ac:dyDescent="0.35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 s="1"/>
      <c r="T3071"/>
      <c r="U3071"/>
      <c r="V3071"/>
    </row>
    <row r="3072" spans="1:22" s="53" customFormat="1" x14ac:dyDescent="0.35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 s="1"/>
      <c r="T3072"/>
      <c r="U3072"/>
      <c r="V3072"/>
    </row>
    <row r="3073" spans="1:22" s="53" customFormat="1" x14ac:dyDescent="0.35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 s="1"/>
      <c r="T3073"/>
      <c r="U3073"/>
      <c r="V3073"/>
    </row>
    <row r="3074" spans="1:22" s="53" customFormat="1" x14ac:dyDescent="0.35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 s="1"/>
      <c r="T3074"/>
      <c r="U3074"/>
      <c r="V3074"/>
    </row>
    <row r="3075" spans="1:22" s="53" customFormat="1" x14ac:dyDescent="0.3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 s="1"/>
      <c r="T3075"/>
      <c r="U3075"/>
      <c r="V3075"/>
    </row>
    <row r="3076" spans="1:22" s="53" customFormat="1" x14ac:dyDescent="0.35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 s="1"/>
      <c r="T3076"/>
      <c r="U3076"/>
      <c r="V3076"/>
    </row>
    <row r="3077" spans="1:22" s="53" customFormat="1" x14ac:dyDescent="0.35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 s="1"/>
      <c r="T3077"/>
      <c r="U3077"/>
      <c r="V3077"/>
    </row>
    <row r="3078" spans="1:22" s="53" customFormat="1" x14ac:dyDescent="0.35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 s="1"/>
      <c r="T3078"/>
      <c r="U3078"/>
      <c r="V3078"/>
    </row>
    <row r="3079" spans="1:22" s="53" customFormat="1" x14ac:dyDescent="0.35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 s="1"/>
      <c r="T3079"/>
      <c r="U3079"/>
      <c r="V3079"/>
    </row>
    <row r="3080" spans="1:22" s="53" customFormat="1" x14ac:dyDescent="0.35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 s="1"/>
      <c r="T3080"/>
      <c r="U3080"/>
      <c r="V3080"/>
    </row>
    <row r="3081" spans="1:22" s="53" customFormat="1" x14ac:dyDescent="0.35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 s="1"/>
      <c r="T3081"/>
      <c r="U3081"/>
      <c r="V3081"/>
    </row>
    <row r="3082" spans="1:22" s="53" customFormat="1" x14ac:dyDescent="0.35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 s="1"/>
      <c r="T3082"/>
      <c r="U3082"/>
      <c r="V3082"/>
    </row>
    <row r="3083" spans="1:22" s="53" customFormat="1" x14ac:dyDescent="0.35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 s="1"/>
      <c r="T3083"/>
      <c r="U3083"/>
      <c r="V3083"/>
    </row>
    <row r="3084" spans="1:22" s="53" customFormat="1" x14ac:dyDescent="0.35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 s="1"/>
      <c r="T3084"/>
      <c r="U3084"/>
      <c r="V3084"/>
    </row>
    <row r="3085" spans="1:22" s="53" customFormat="1" x14ac:dyDescent="0.3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 s="1"/>
      <c r="T3085"/>
      <c r="U3085"/>
      <c r="V3085"/>
    </row>
    <row r="3086" spans="1:22" s="53" customFormat="1" x14ac:dyDescent="0.35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 s="1"/>
      <c r="T3086"/>
      <c r="U3086"/>
      <c r="V3086"/>
    </row>
    <row r="3087" spans="1:22" s="53" customFormat="1" x14ac:dyDescent="0.35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 s="1"/>
      <c r="T3087"/>
      <c r="U3087"/>
      <c r="V3087"/>
    </row>
    <row r="3088" spans="1:22" s="53" customFormat="1" x14ac:dyDescent="0.35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 s="1"/>
      <c r="T3088"/>
      <c r="U3088"/>
      <c r="V3088"/>
    </row>
    <row r="3089" spans="1:22" s="53" customFormat="1" x14ac:dyDescent="0.35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 s="1"/>
      <c r="T3089"/>
      <c r="U3089"/>
      <c r="V3089"/>
    </row>
    <row r="3090" spans="1:22" s="53" customFormat="1" x14ac:dyDescent="0.35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 s="1"/>
      <c r="T3090"/>
      <c r="U3090"/>
      <c r="V3090"/>
    </row>
    <row r="3091" spans="1:22" s="53" customFormat="1" x14ac:dyDescent="0.35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 s="1"/>
      <c r="T3091"/>
      <c r="U3091"/>
      <c r="V3091"/>
    </row>
    <row r="3092" spans="1:22" s="53" customFormat="1" x14ac:dyDescent="0.35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 s="1"/>
      <c r="T3092"/>
      <c r="U3092"/>
      <c r="V3092"/>
    </row>
    <row r="3093" spans="1:22" s="53" customFormat="1" x14ac:dyDescent="0.35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 s="1"/>
      <c r="T3093"/>
      <c r="U3093"/>
      <c r="V3093"/>
    </row>
    <row r="3094" spans="1:22" s="53" customFormat="1" x14ac:dyDescent="0.35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 s="1"/>
      <c r="T3094"/>
      <c r="U3094"/>
      <c r="V3094"/>
    </row>
    <row r="3095" spans="1:22" s="53" customFormat="1" x14ac:dyDescent="0.3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 s="1"/>
      <c r="T3095"/>
      <c r="U3095"/>
      <c r="V3095"/>
    </row>
    <row r="3096" spans="1:22" s="53" customFormat="1" x14ac:dyDescent="0.35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 s="1"/>
      <c r="T3096"/>
      <c r="U3096"/>
      <c r="V3096"/>
    </row>
    <row r="3097" spans="1:22" s="53" customFormat="1" x14ac:dyDescent="0.35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 s="1"/>
      <c r="T3097"/>
      <c r="U3097"/>
      <c r="V3097"/>
    </row>
    <row r="3098" spans="1:22" s="53" customFormat="1" x14ac:dyDescent="0.35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 s="1"/>
      <c r="T3098"/>
      <c r="U3098"/>
      <c r="V3098"/>
    </row>
    <row r="3099" spans="1:22" s="53" customFormat="1" x14ac:dyDescent="0.35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 s="1"/>
      <c r="T3099"/>
      <c r="U3099"/>
      <c r="V3099"/>
    </row>
    <row r="3100" spans="1:22" s="53" customFormat="1" x14ac:dyDescent="0.35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 s="1"/>
      <c r="T3100"/>
      <c r="U3100"/>
      <c r="V3100"/>
    </row>
    <row r="3101" spans="1:22" s="53" customFormat="1" x14ac:dyDescent="0.35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 s="1"/>
      <c r="T3101"/>
      <c r="U3101"/>
      <c r="V3101"/>
    </row>
    <row r="3102" spans="1:22" s="53" customFormat="1" x14ac:dyDescent="0.35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 s="1"/>
      <c r="T3102"/>
      <c r="U3102"/>
      <c r="V3102"/>
    </row>
    <row r="3103" spans="1:22" s="53" customFormat="1" x14ac:dyDescent="0.35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 s="1"/>
      <c r="T3103"/>
      <c r="U3103"/>
      <c r="V3103"/>
    </row>
    <row r="3104" spans="1:22" s="53" customFormat="1" x14ac:dyDescent="0.35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 s="1"/>
      <c r="T3104"/>
      <c r="U3104"/>
      <c r="V3104"/>
    </row>
    <row r="3105" spans="1:22" s="53" customFormat="1" x14ac:dyDescent="0.3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 s="1"/>
      <c r="T3105"/>
      <c r="U3105"/>
      <c r="V3105"/>
    </row>
    <row r="3106" spans="1:22" s="53" customFormat="1" x14ac:dyDescent="0.35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 s="1"/>
      <c r="T3106"/>
      <c r="U3106"/>
      <c r="V3106"/>
    </row>
    <row r="3107" spans="1:22" s="53" customFormat="1" x14ac:dyDescent="0.35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 s="1"/>
      <c r="T3107"/>
      <c r="U3107"/>
      <c r="V3107"/>
    </row>
    <row r="3108" spans="1:22" s="53" customFormat="1" x14ac:dyDescent="0.35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 s="1"/>
      <c r="T3108"/>
      <c r="U3108"/>
      <c r="V3108"/>
    </row>
    <row r="3109" spans="1:22" s="53" customFormat="1" x14ac:dyDescent="0.35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 s="1"/>
      <c r="T3109"/>
      <c r="U3109"/>
      <c r="V3109"/>
    </row>
    <row r="3110" spans="1:22" s="53" customFormat="1" x14ac:dyDescent="0.35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 s="1"/>
      <c r="T3110"/>
      <c r="U3110"/>
      <c r="V3110"/>
    </row>
    <row r="3111" spans="1:22" s="53" customFormat="1" x14ac:dyDescent="0.35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 s="1"/>
      <c r="T3111"/>
      <c r="U3111"/>
      <c r="V3111"/>
    </row>
    <row r="3112" spans="1:22" s="53" customFormat="1" x14ac:dyDescent="0.35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 s="1"/>
      <c r="T3112"/>
      <c r="U3112"/>
      <c r="V3112"/>
    </row>
    <row r="3113" spans="1:22" s="53" customFormat="1" x14ac:dyDescent="0.35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 s="1"/>
      <c r="T3113"/>
      <c r="U3113"/>
      <c r="V3113"/>
    </row>
    <row r="3114" spans="1:22" s="53" customFormat="1" x14ac:dyDescent="0.35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 s="1"/>
      <c r="T3114"/>
      <c r="U3114"/>
      <c r="V3114"/>
    </row>
    <row r="3115" spans="1:22" s="53" customFormat="1" x14ac:dyDescent="0.3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 s="1"/>
      <c r="T3115"/>
      <c r="U3115"/>
      <c r="V3115"/>
    </row>
    <row r="3116" spans="1:22" s="53" customFormat="1" x14ac:dyDescent="0.35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 s="1"/>
      <c r="T3116"/>
      <c r="U3116"/>
      <c r="V3116"/>
    </row>
    <row r="3117" spans="1:22" s="53" customFormat="1" x14ac:dyDescent="0.35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 s="1"/>
      <c r="T3117"/>
      <c r="U3117"/>
      <c r="V3117"/>
    </row>
    <row r="3118" spans="1:22" s="53" customFormat="1" x14ac:dyDescent="0.35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 s="1"/>
      <c r="T3118"/>
      <c r="U3118"/>
      <c r="V3118"/>
    </row>
    <row r="3119" spans="1:22" s="53" customFormat="1" x14ac:dyDescent="0.35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 s="1"/>
      <c r="T3119"/>
      <c r="U3119"/>
      <c r="V3119"/>
    </row>
    <row r="3120" spans="1:22" s="53" customFormat="1" x14ac:dyDescent="0.35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 s="1"/>
      <c r="T3120"/>
      <c r="U3120"/>
      <c r="V3120"/>
    </row>
    <row r="3121" spans="1:22" s="53" customFormat="1" x14ac:dyDescent="0.35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 s="1"/>
      <c r="T3121"/>
      <c r="U3121"/>
      <c r="V3121"/>
    </row>
    <row r="3122" spans="1:22" s="53" customFormat="1" x14ac:dyDescent="0.35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 s="1"/>
      <c r="T3122"/>
      <c r="U3122"/>
      <c r="V3122"/>
    </row>
    <row r="3123" spans="1:22" s="53" customFormat="1" x14ac:dyDescent="0.35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 s="1"/>
      <c r="T3123"/>
      <c r="U3123"/>
      <c r="V3123"/>
    </row>
    <row r="3124" spans="1:22" s="53" customFormat="1" x14ac:dyDescent="0.35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 s="1"/>
      <c r="T3124"/>
      <c r="U3124"/>
      <c r="V3124"/>
    </row>
    <row r="3125" spans="1:22" s="53" customFormat="1" x14ac:dyDescent="0.3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 s="1"/>
      <c r="T3125"/>
      <c r="U3125"/>
      <c r="V3125"/>
    </row>
    <row r="3126" spans="1:22" s="53" customFormat="1" x14ac:dyDescent="0.35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 s="1"/>
      <c r="T3126"/>
      <c r="U3126"/>
      <c r="V3126"/>
    </row>
    <row r="3127" spans="1:22" s="53" customFormat="1" x14ac:dyDescent="0.35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 s="1"/>
      <c r="T3127"/>
      <c r="U3127"/>
      <c r="V3127"/>
    </row>
    <row r="3128" spans="1:22" s="53" customFormat="1" x14ac:dyDescent="0.35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 s="1"/>
      <c r="T3128"/>
      <c r="U3128"/>
      <c r="V3128"/>
    </row>
    <row r="3129" spans="1:22" s="53" customFormat="1" x14ac:dyDescent="0.35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 s="1"/>
      <c r="T3129"/>
      <c r="U3129"/>
      <c r="V3129"/>
    </row>
    <row r="3130" spans="1:22" s="53" customFormat="1" x14ac:dyDescent="0.35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 s="1"/>
      <c r="T3130"/>
      <c r="U3130"/>
      <c r="V3130"/>
    </row>
    <row r="3131" spans="1:22" s="53" customFormat="1" x14ac:dyDescent="0.35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 s="1"/>
      <c r="T3131"/>
      <c r="U3131"/>
      <c r="V3131"/>
    </row>
    <row r="3132" spans="1:22" s="53" customFormat="1" x14ac:dyDescent="0.35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 s="1"/>
      <c r="T3132"/>
      <c r="U3132"/>
      <c r="V3132"/>
    </row>
    <row r="3133" spans="1:22" s="53" customFormat="1" x14ac:dyDescent="0.35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 s="1"/>
      <c r="T3133"/>
      <c r="U3133"/>
      <c r="V3133"/>
    </row>
    <row r="3134" spans="1:22" s="53" customFormat="1" x14ac:dyDescent="0.35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 s="1"/>
      <c r="T3134"/>
      <c r="U3134"/>
      <c r="V3134"/>
    </row>
    <row r="3135" spans="1:22" s="53" customFormat="1" x14ac:dyDescent="0.35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 s="1"/>
      <c r="T3135"/>
      <c r="U3135"/>
      <c r="V3135"/>
    </row>
    <row r="3136" spans="1:22" s="53" customFormat="1" x14ac:dyDescent="0.35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 s="1"/>
      <c r="T3136"/>
      <c r="U3136"/>
      <c r="V3136"/>
    </row>
    <row r="3137" spans="1:22" s="53" customFormat="1" x14ac:dyDescent="0.35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 s="1"/>
      <c r="T3137"/>
      <c r="U3137"/>
      <c r="V3137"/>
    </row>
    <row r="3138" spans="1:22" s="53" customFormat="1" x14ac:dyDescent="0.35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 s="1"/>
      <c r="T3138"/>
      <c r="U3138"/>
      <c r="V3138"/>
    </row>
    <row r="3139" spans="1:22" s="53" customFormat="1" x14ac:dyDescent="0.35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 s="1"/>
      <c r="T3139"/>
      <c r="U3139"/>
      <c r="V3139"/>
    </row>
    <row r="3140" spans="1:22" s="53" customFormat="1" x14ac:dyDescent="0.35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 s="1"/>
      <c r="T3140"/>
      <c r="U3140"/>
      <c r="V3140"/>
    </row>
    <row r="3141" spans="1:22" s="53" customFormat="1" x14ac:dyDescent="0.35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 s="1"/>
      <c r="T3141"/>
      <c r="U3141"/>
      <c r="V3141"/>
    </row>
    <row r="3142" spans="1:22" s="53" customFormat="1" x14ac:dyDescent="0.35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 s="1"/>
      <c r="T3142"/>
      <c r="U3142"/>
      <c r="V3142"/>
    </row>
    <row r="3143" spans="1:22" s="53" customFormat="1" x14ac:dyDescent="0.35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 s="1"/>
      <c r="T3143"/>
      <c r="U3143"/>
      <c r="V3143"/>
    </row>
    <row r="3144" spans="1:22" s="53" customFormat="1" x14ac:dyDescent="0.35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 s="1"/>
      <c r="T3144"/>
      <c r="U3144"/>
      <c r="V3144"/>
    </row>
    <row r="3145" spans="1:22" s="53" customFormat="1" x14ac:dyDescent="0.35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 s="1"/>
      <c r="T3145"/>
      <c r="U3145"/>
      <c r="V3145"/>
    </row>
    <row r="3146" spans="1:22" s="53" customFormat="1" x14ac:dyDescent="0.35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 s="1"/>
      <c r="T3146"/>
      <c r="U3146"/>
      <c r="V3146"/>
    </row>
    <row r="3147" spans="1:22" s="53" customFormat="1" x14ac:dyDescent="0.35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 s="1"/>
      <c r="T3147"/>
      <c r="U3147"/>
      <c r="V3147"/>
    </row>
    <row r="3148" spans="1:22" s="53" customFormat="1" x14ac:dyDescent="0.35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 s="1"/>
      <c r="T3148"/>
      <c r="U3148"/>
      <c r="V3148"/>
    </row>
    <row r="3149" spans="1:22" s="53" customFormat="1" x14ac:dyDescent="0.35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 s="1"/>
      <c r="T3149"/>
      <c r="U3149"/>
      <c r="V3149"/>
    </row>
    <row r="3150" spans="1:22" s="53" customFormat="1" x14ac:dyDescent="0.35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 s="1"/>
      <c r="T3150"/>
      <c r="U3150"/>
      <c r="V3150"/>
    </row>
    <row r="3151" spans="1:22" s="53" customFormat="1" x14ac:dyDescent="0.35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 s="1"/>
      <c r="T3151"/>
      <c r="U3151"/>
      <c r="V3151"/>
    </row>
    <row r="3152" spans="1:22" s="53" customFormat="1" x14ac:dyDescent="0.35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 s="1"/>
      <c r="T3152"/>
      <c r="U3152"/>
      <c r="V3152"/>
    </row>
    <row r="3153" spans="1:22" s="53" customFormat="1" x14ac:dyDescent="0.35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 s="1"/>
      <c r="T3153"/>
      <c r="U3153"/>
      <c r="V3153"/>
    </row>
    <row r="3154" spans="1:22" s="53" customFormat="1" x14ac:dyDescent="0.35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 s="1"/>
      <c r="T3154"/>
      <c r="U3154"/>
      <c r="V3154"/>
    </row>
    <row r="3155" spans="1:22" s="53" customFormat="1" x14ac:dyDescent="0.35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 s="1"/>
      <c r="T3155"/>
      <c r="U3155"/>
      <c r="V3155"/>
    </row>
    <row r="3156" spans="1:22" s="53" customFormat="1" x14ac:dyDescent="0.35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 s="1"/>
      <c r="T3156"/>
      <c r="U3156"/>
      <c r="V3156"/>
    </row>
    <row r="3157" spans="1:22" s="53" customFormat="1" x14ac:dyDescent="0.35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 s="1"/>
      <c r="T3157"/>
      <c r="U3157"/>
      <c r="V3157"/>
    </row>
    <row r="3158" spans="1:22" s="53" customFormat="1" x14ac:dyDescent="0.35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 s="1"/>
      <c r="T3158"/>
      <c r="U3158"/>
      <c r="V3158"/>
    </row>
    <row r="3159" spans="1:22" s="53" customFormat="1" x14ac:dyDescent="0.35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 s="1"/>
      <c r="T3159"/>
      <c r="U3159"/>
      <c r="V3159"/>
    </row>
    <row r="3160" spans="1:22" s="53" customFormat="1" x14ac:dyDescent="0.35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 s="1"/>
      <c r="T3160"/>
      <c r="U3160"/>
      <c r="V3160"/>
    </row>
    <row r="3161" spans="1:22" s="53" customFormat="1" x14ac:dyDescent="0.35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 s="1"/>
      <c r="T3161"/>
      <c r="U3161"/>
      <c r="V3161"/>
    </row>
    <row r="3162" spans="1:22" s="53" customFormat="1" x14ac:dyDescent="0.35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 s="1"/>
      <c r="T3162"/>
      <c r="U3162"/>
      <c r="V3162"/>
    </row>
    <row r="3163" spans="1:22" s="53" customFormat="1" x14ac:dyDescent="0.35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 s="1"/>
      <c r="T3163"/>
      <c r="U3163"/>
      <c r="V3163"/>
    </row>
    <row r="3164" spans="1:22" s="53" customFormat="1" x14ac:dyDescent="0.35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 s="1"/>
      <c r="T3164"/>
      <c r="U3164"/>
      <c r="V3164"/>
    </row>
    <row r="3165" spans="1:22" s="53" customFormat="1" x14ac:dyDescent="0.35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 s="1"/>
      <c r="T3165"/>
      <c r="U3165"/>
      <c r="V3165"/>
    </row>
    <row r="3166" spans="1:22" s="53" customFormat="1" x14ac:dyDescent="0.35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 s="1"/>
      <c r="T3166"/>
      <c r="U3166"/>
      <c r="V3166"/>
    </row>
    <row r="3167" spans="1:22" s="53" customFormat="1" x14ac:dyDescent="0.35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 s="1"/>
      <c r="T3167"/>
      <c r="U3167"/>
      <c r="V3167"/>
    </row>
    <row r="3168" spans="1:22" s="53" customFormat="1" x14ac:dyDescent="0.35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 s="1"/>
      <c r="T3168"/>
      <c r="U3168"/>
      <c r="V3168"/>
    </row>
    <row r="3169" spans="1:22" s="53" customFormat="1" x14ac:dyDescent="0.35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 s="1"/>
      <c r="T3169"/>
      <c r="U3169"/>
      <c r="V3169"/>
    </row>
    <row r="3170" spans="1:22" s="53" customFormat="1" x14ac:dyDescent="0.35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 s="1"/>
      <c r="T3170"/>
      <c r="U3170"/>
      <c r="V3170"/>
    </row>
    <row r="3171" spans="1:22" s="53" customFormat="1" x14ac:dyDescent="0.35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 s="1"/>
      <c r="T3171"/>
      <c r="U3171"/>
      <c r="V3171"/>
    </row>
    <row r="3172" spans="1:22" s="53" customFormat="1" x14ac:dyDescent="0.35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 s="1"/>
      <c r="T3172"/>
      <c r="U3172"/>
      <c r="V3172"/>
    </row>
    <row r="3173" spans="1:22" s="53" customFormat="1" x14ac:dyDescent="0.35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 s="1"/>
      <c r="T3173"/>
      <c r="U3173"/>
      <c r="V3173"/>
    </row>
    <row r="3174" spans="1:22" s="53" customFormat="1" x14ac:dyDescent="0.35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 s="1"/>
      <c r="T3174"/>
      <c r="U3174"/>
      <c r="V3174"/>
    </row>
    <row r="3175" spans="1:22" s="53" customFormat="1" x14ac:dyDescent="0.35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 s="1"/>
      <c r="T3175"/>
      <c r="U3175"/>
      <c r="V3175"/>
    </row>
    <row r="3176" spans="1:22" s="53" customFormat="1" x14ac:dyDescent="0.35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 s="1"/>
      <c r="T3176"/>
      <c r="U3176"/>
      <c r="V3176"/>
    </row>
    <row r="3177" spans="1:22" s="53" customFormat="1" x14ac:dyDescent="0.35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 s="1"/>
      <c r="T3177"/>
      <c r="U3177"/>
      <c r="V3177"/>
    </row>
    <row r="3178" spans="1:22" s="53" customFormat="1" x14ac:dyDescent="0.35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 s="1"/>
      <c r="T3178"/>
      <c r="U3178"/>
      <c r="V3178"/>
    </row>
    <row r="3179" spans="1:22" s="53" customFormat="1" x14ac:dyDescent="0.35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 s="1"/>
      <c r="T3179"/>
      <c r="U3179"/>
      <c r="V3179"/>
    </row>
    <row r="3180" spans="1:22" s="53" customFormat="1" x14ac:dyDescent="0.35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 s="1"/>
      <c r="T3180"/>
      <c r="U3180"/>
      <c r="V3180"/>
    </row>
    <row r="3181" spans="1:22" s="53" customFormat="1" x14ac:dyDescent="0.35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 s="1"/>
      <c r="T3181"/>
      <c r="U3181"/>
      <c r="V3181"/>
    </row>
    <row r="3182" spans="1:22" s="53" customFormat="1" x14ac:dyDescent="0.35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 s="1"/>
      <c r="T3182"/>
      <c r="U3182"/>
      <c r="V3182"/>
    </row>
    <row r="3183" spans="1:22" s="53" customFormat="1" x14ac:dyDescent="0.35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 s="1"/>
      <c r="T3183"/>
      <c r="U3183"/>
      <c r="V3183"/>
    </row>
    <row r="3184" spans="1:22" s="53" customFormat="1" x14ac:dyDescent="0.35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 s="1"/>
      <c r="T3184"/>
      <c r="U3184"/>
      <c r="V3184"/>
    </row>
    <row r="3185" spans="1:22" s="53" customFormat="1" x14ac:dyDescent="0.35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 s="1"/>
      <c r="T3185"/>
      <c r="U3185"/>
      <c r="V3185"/>
    </row>
    <row r="3186" spans="1:22" s="53" customFormat="1" x14ac:dyDescent="0.35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 s="1"/>
      <c r="T3186"/>
      <c r="U3186"/>
      <c r="V3186"/>
    </row>
    <row r="3187" spans="1:22" s="53" customFormat="1" x14ac:dyDescent="0.35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 s="1"/>
      <c r="T3187"/>
      <c r="U3187"/>
      <c r="V3187"/>
    </row>
    <row r="3188" spans="1:22" s="53" customFormat="1" x14ac:dyDescent="0.35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 s="1"/>
      <c r="T3188"/>
      <c r="U3188"/>
      <c r="V3188"/>
    </row>
    <row r="3189" spans="1:22" s="53" customFormat="1" x14ac:dyDescent="0.35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 s="1"/>
      <c r="T3189"/>
      <c r="U3189"/>
      <c r="V3189"/>
    </row>
    <row r="3190" spans="1:22" s="53" customFormat="1" x14ac:dyDescent="0.35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 s="1"/>
      <c r="T3190"/>
      <c r="U3190"/>
      <c r="V3190"/>
    </row>
    <row r="3191" spans="1:22" s="53" customFormat="1" x14ac:dyDescent="0.35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 s="1"/>
      <c r="T3191"/>
      <c r="U3191"/>
      <c r="V3191"/>
    </row>
    <row r="3192" spans="1:22" s="53" customFormat="1" x14ac:dyDescent="0.35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 s="1"/>
      <c r="T3192"/>
      <c r="U3192"/>
      <c r="V3192"/>
    </row>
    <row r="3193" spans="1:22" s="53" customFormat="1" x14ac:dyDescent="0.35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 s="1"/>
      <c r="T3193"/>
      <c r="U3193"/>
      <c r="V3193"/>
    </row>
    <row r="3194" spans="1:22" s="53" customFormat="1" x14ac:dyDescent="0.35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 s="1"/>
      <c r="T3194"/>
      <c r="U3194"/>
      <c r="V3194"/>
    </row>
    <row r="3195" spans="1:22" s="53" customFormat="1" x14ac:dyDescent="0.35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 s="1"/>
      <c r="T3195"/>
      <c r="U3195"/>
      <c r="V3195"/>
    </row>
    <row r="3196" spans="1:22" s="53" customFormat="1" x14ac:dyDescent="0.35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 s="1"/>
      <c r="T3196"/>
      <c r="U3196"/>
      <c r="V3196"/>
    </row>
    <row r="3197" spans="1:22" s="53" customFormat="1" x14ac:dyDescent="0.35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 s="1"/>
      <c r="T3197"/>
      <c r="U3197"/>
      <c r="V3197"/>
    </row>
    <row r="3198" spans="1:22" s="53" customFormat="1" x14ac:dyDescent="0.35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 s="1"/>
      <c r="T3198"/>
      <c r="U3198"/>
      <c r="V3198"/>
    </row>
    <row r="3199" spans="1:22" s="53" customFormat="1" x14ac:dyDescent="0.35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 s="1"/>
      <c r="T3199"/>
      <c r="U3199"/>
      <c r="V3199"/>
    </row>
    <row r="3200" spans="1:22" s="53" customFormat="1" x14ac:dyDescent="0.35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 s="1"/>
      <c r="T3200"/>
      <c r="U3200"/>
      <c r="V3200"/>
    </row>
    <row r="3201" spans="1:22" s="53" customFormat="1" x14ac:dyDescent="0.35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 s="1"/>
      <c r="T3201"/>
      <c r="U3201"/>
      <c r="V3201"/>
    </row>
    <row r="3202" spans="1:22" s="53" customFormat="1" x14ac:dyDescent="0.35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 s="1"/>
      <c r="T3202"/>
      <c r="U3202"/>
      <c r="V3202"/>
    </row>
    <row r="3203" spans="1:22" s="53" customFormat="1" x14ac:dyDescent="0.35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 s="1"/>
      <c r="T3203"/>
      <c r="U3203"/>
      <c r="V3203"/>
    </row>
    <row r="3204" spans="1:22" s="53" customFormat="1" x14ac:dyDescent="0.35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 s="1"/>
      <c r="T3204"/>
      <c r="U3204"/>
      <c r="V3204"/>
    </row>
    <row r="3205" spans="1:22" s="53" customFormat="1" x14ac:dyDescent="0.35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 s="1"/>
      <c r="T3205"/>
      <c r="U3205"/>
      <c r="V3205"/>
    </row>
    <row r="3206" spans="1:22" s="53" customFormat="1" x14ac:dyDescent="0.35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 s="1"/>
      <c r="T3206"/>
      <c r="U3206"/>
      <c r="V3206"/>
    </row>
    <row r="3207" spans="1:22" s="53" customFormat="1" x14ac:dyDescent="0.35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 s="1"/>
      <c r="T3207"/>
      <c r="U3207"/>
      <c r="V3207"/>
    </row>
    <row r="3208" spans="1:22" s="53" customFormat="1" x14ac:dyDescent="0.35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 s="1"/>
      <c r="T3208"/>
      <c r="U3208"/>
      <c r="V3208"/>
    </row>
    <row r="3209" spans="1:22" s="53" customFormat="1" x14ac:dyDescent="0.35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 s="1"/>
      <c r="T3209"/>
      <c r="U3209"/>
      <c r="V3209"/>
    </row>
    <row r="3210" spans="1:22" s="53" customFormat="1" x14ac:dyDescent="0.35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 s="1"/>
      <c r="T3210"/>
      <c r="U3210"/>
      <c r="V3210"/>
    </row>
    <row r="3211" spans="1:22" s="53" customFormat="1" x14ac:dyDescent="0.35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 s="1"/>
      <c r="T3211"/>
      <c r="U3211"/>
      <c r="V3211"/>
    </row>
    <row r="3212" spans="1:22" s="53" customFormat="1" x14ac:dyDescent="0.35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 s="1"/>
      <c r="T3212"/>
      <c r="U3212"/>
      <c r="V3212"/>
    </row>
    <row r="3213" spans="1:22" s="53" customFormat="1" x14ac:dyDescent="0.35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 s="1"/>
      <c r="T3213"/>
      <c r="U3213"/>
      <c r="V3213"/>
    </row>
    <row r="3214" spans="1:22" s="53" customFormat="1" x14ac:dyDescent="0.35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 s="1"/>
      <c r="T3214"/>
      <c r="U3214"/>
      <c r="V3214"/>
    </row>
    <row r="3215" spans="1:22" s="53" customFormat="1" x14ac:dyDescent="0.35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 s="1"/>
      <c r="T3215"/>
      <c r="U3215"/>
      <c r="V3215"/>
    </row>
    <row r="3216" spans="1:22" s="53" customFormat="1" x14ac:dyDescent="0.35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 s="1"/>
      <c r="T3216"/>
      <c r="U3216"/>
      <c r="V3216"/>
    </row>
    <row r="3217" spans="1:22" s="53" customFormat="1" x14ac:dyDescent="0.35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 s="1"/>
      <c r="T3217"/>
      <c r="U3217"/>
      <c r="V3217"/>
    </row>
    <row r="3218" spans="1:22" s="53" customFormat="1" x14ac:dyDescent="0.35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 s="1"/>
      <c r="T3218"/>
      <c r="U3218"/>
      <c r="V3218"/>
    </row>
    <row r="3219" spans="1:22" s="53" customFormat="1" x14ac:dyDescent="0.35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 s="1"/>
      <c r="T3219"/>
      <c r="U3219"/>
      <c r="V3219"/>
    </row>
    <row r="3220" spans="1:22" s="53" customFormat="1" x14ac:dyDescent="0.35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 s="1"/>
      <c r="T3220"/>
      <c r="U3220"/>
      <c r="V3220"/>
    </row>
    <row r="3221" spans="1:22" s="53" customFormat="1" x14ac:dyDescent="0.35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 s="1"/>
      <c r="T3221"/>
      <c r="U3221"/>
      <c r="V3221"/>
    </row>
    <row r="3222" spans="1:22" s="53" customFormat="1" x14ac:dyDescent="0.35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 s="1"/>
      <c r="T3222"/>
      <c r="U3222"/>
      <c r="V3222"/>
    </row>
    <row r="3223" spans="1:22" s="53" customFormat="1" x14ac:dyDescent="0.35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 s="1"/>
      <c r="T3223"/>
      <c r="U3223"/>
      <c r="V3223"/>
    </row>
    <row r="3224" spans="1:22" s="53" customFormat="1" x14ac:dyDescent="0.35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 s="1"/>
      <c r="T3224"/>
      <c r="U3224"/>
      <c r="V3224"/>
    </row>
    <row r="3225" spans="1:22" s="53" customFormat="1" x14ac:dyDescent="0.35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 s="1"/>
      <c r="T3225"/>
      <c r="U3225"/>
      <c r="V3225"/>
    </row>
    <row r="3226" spans="1:22" s="53" customFormat="1" x14ac:dyDescent="0.35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 s="1"/>
      <c r="T3226"/>
      <c r="U3226"/>
      <c r="V3226"/>
    </row>
    <row r="3227" spans="1:22" s="53" customFormat="1" x14ac:dyDescent="0.35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 s="1"/>
      <c r="T3227"/>
      <c r="U3227"/>
      <c r="V3227"/>
    </row>
    <row r="3228" spans="1:22" s="53" customFormat="1" x14ac:dyDescent="0.35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 s="1"/>
      <c r="T3228"/>
      <c r="U3228"/>
      <c r="V3228"/>
    </row>
    <row r="3229" spans="1:22" s="53" customFormat="1" x14ac:dyDescent="0.35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 s="1"/>
      <c r="T3229"/>
      <c r="U3229"/>
      <c r="V3229"/>
    </row>
    <row r="3230" spans="1:22" s="53" customFormat="1" x14ac:dyDescent="0.35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 s="1"/>
      <c r="T3230"/>
      <c r="U3230"/>
      <c r="V3230"/>
    </row>
    <row r="3231" spans="1:22" s="53" customFormat="1" x14ac:dyDescent="0.35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 s="1"/>
      <c r="T3231"/>
      <c r="U3231"/>
      <c r="V3231"/>
    </row>
    <row r="3232" spans="1:22" s="53" customFormat="1" x14ac:dyDescent="0.35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 s="1"/>
      <c r="T3232"/>
      <c r="U3232"/>
      <c r="V3232"/>
    </row>
    <row r="3233" spans="1:22" s="53" customFormat="1" x14ac:dyDescent="0.35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 s="1"/>
      <c r="T3233"/>
      <c r="U3233"/>
      <c r="V3233"/>
    </row>
    <row r="3234" spans="1:22" s="53" customFormat="1" x14ac:dyDescent="0.35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 s="1"/>
      <c r="T3234"/>
      <c r="U3234"/>
      <c r="V3234"/>
    </row>
    <row r="3235" spans="1:22" s="53" customFormat="1" x14ac:dyDescent="0.35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 s="1"/>
      <c r="T3235"/>
      <c r="U3235"/>
      <c r="V3235"/>
    </row>
    <row r="3236" spans="1:22" s="53" customFormat="1" x14ac:dyDescent="0.35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 s="1"/>
      <c r="T3236"/>
      <c r="U3236"/>
      <c r="V3236"/>
    </row>
    <row r="3237" spans="1:22" s="53" customFormat="1" x14ac:dyDescent="0.35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 s="1"/>
      <c r="T3237"/>
      <c r="U3237"/>
      <c r="V3237"/>
    </row>
    <row r="3238" spans="1:22" s="53" customFormat="1" x14ac:dyDescent="0.35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 s="1"/>
      <c r="T3238"/>
      <c r="U3238"/>
      <c r="V3238"/>
    </row>
    <row r="3239" spans="1:22" s="53" customFormat="1" x14ac:dyDescent="0.35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 s="1"/>
      <c r="T3239"/>
      <c r="U3239"/>
      <c r="V3239"/>
    </row>
    <row r="3240" spans="1:22" s="53" customFormat="1" x14ac:dyDescent="0.35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 s="1"/>
      <c r="T3240"/>
      <c r="U3240"/>
      <c r="V3240"/>
    </row>
    <row r="3241" spans="1:22" s="53" customFormat="1" x14ac:dyDescent="0.35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 s="1"/>
      <c r="T3241"/>
      <c r="U3241"/>
      <c r="V3241"/>
    </row>
    <row r="3242" spans="1:22" s="53" customFormat="1" x14ac:dyDescent="0.35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 s="1"/>
      <c r="T3242"/>
      <c r="U3242"/>
      <c r="V3242"/>
    </row>
    <row r="3243" spans="1:22" s="53" customFormat="1" x14ac:dyDescent="0.35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 s="1"/>
      <c r="T3243"/>
      <c r="U3243"/>
      <c r="V3243"/>
    </row>
    <row r="3244" spans="1:22" s="53" customFormat="1" x14ac:dyDescent="0.35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 s="1"/>
      <c r="T3244"/>
      <c r="U3244"/>
      <c r="V3244"/>
    </row>
    <row r="3245" spans="1:22" s="53" customFormat="1" x14ac:dyDescent="0.35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 s="1"/>
      <c r="T3245"/>
      <c r="U3245"/>
      <c r="V3245"/>
    </row>
    <row r="3246" spans="1:22" s="53" customFormat="1" x14ac:dyDescent="0.35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 s="1"/>
      <c r="T3246"/>
      <c r="U3246"/>
      <c r="V3246"/>
    </row>
    <row r="3247" spans="1:22" s="53" customFormat="1" x14ac:dyDescent="0.35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 s="1"/>
      <c r="T3247"/>
      <c r="U3247"/>
      <c r="V3247"/>
    </row>
    <row r="3248" spans="1:22" s="53" customFormat="1" x14ac:dyDescent="0.35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 s="1"/>
      <c r="T3248"/>
      <c r="U3248"/>
      <c r="V3248"/>
    </row>
    <row r="3249" spans="1:22" s="53" customFormat="1" x14ac:dyDescent="0.35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 s="1"/>
      <c r="T3249"/>
      <c r="U3249"/>
      <c r="V3249"/>
    </row>
    <row r="3250" spans="1:22" s="53" customFormat="1" x14ac:dyDescent="0.35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 s="1"/>
      <c r="T3250"/>
      <c r="U3250"/>
      <c r="V3250"/>
    </row>
    <row r="3251" spans="1:22" s="53" customFormat="1" x14ac:dyDescent="0.35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 s="1"/>
      <c r="T3251"/>
      <c r="U3251"/>
      <c r="V3251"/>
    </row>
    <row r="3252" spans="1:22" s="53" customFormat="1" x14ac:dyDescent="0.35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 s="1"/>
      <c r="T3252"/>
      <c r="U3252"/>
      <c r="V3252"/>
    </row>
    <row r="3253" spans="1:22" s="53" customFormat="1" x14ac:dyDescent="0.35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 s="1"/>
      <c r="T3253"/>
      <c r="U3253"/>
      <c r="V3253"/>
    </row>
    <row r="3254" spans="1:22" s="53" customFormat="1" x14ac:dyDescent="0.35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 s="1"/>
      <c r="T3254"/>
      <c r="U3254"/>
      <c r="V3254"/>
    </row>
    <row r="3255" spans="1:22" s="53" customFormat="1" x14ac:dyDescent="0.35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 s="1"/>
      <c r="T3255"/>
      <c r="U3255"/>
      <c r="V3255"/>
    </row>
    <row r="3256" spans="1:22" s="53" customFormat="1" x14ac:dyDescent="0.35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 s="1"/>
      <c r="T3256"/>
      <c r="U3256"/>
      <c r="V3256"/>
    </row>
    <row r="3257" spans="1:22" s="53" customFormat="1" x14ac:dyDescent="0.35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 s="1"/>
      <c r="T3257"/>
      <c r="U3257"/>
      <c r="V3257"/>
    </row>
    <row r="3258" spans="1:22" s="53" customFormat="1" x14ac:dyDescent="0.35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 s="1"/>
      <c r="T3258"/>
      <c r="U3258"/>
      <c r="V3258"/>
    </row>
    <row r="3259" spans="1:22" s="53" customFormat="1" x14ac:dyDescent="0.35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 s="1"/>
      <c r="T3259"/>
      <c r="U3259"/>
      <c r="V3259"/>
    </row>
    <row r="3260" spans="1:22" s="53" customFormat="1" x14ac:dyDescent="0.35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 s="1"/>
      <c r="T3260"/>
      <c r="U3260"/>
      <c r="V3260"/>
    </row>
    <row r="3261" spans="1:22" s="53" customFormat="1" x14ac:dyDescent="0.35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 s="1"/>
      <c r="T3261"/>
      <c r="U3261"/>
      <c r="V3261"/>
    </row>
    <row r="3262" spans="1:22" s="53" customFormat="1" x14ac:dyDescent="0.35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 s="1"/>
      <c r="T3262"/>
      <c r="U3262"/>
      <c r="V3262"/>
    </row>
    <row r="3263" spans="1:22" s="53" customFormat="1" x14ac:dyDescent="0.35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 s="1"/>
      <c r="T3263"/>
      <c r="U3263"/>
      <c r="V3263"/>
    </row>
    <row r="3264" spans="1:22" s="53" customFormat="1" x14ac:dyDescent="0.35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 s="1"/>
      <c r="T3264"/>
      <c r="U3264"/>
      <c r="V3264"/>
    </row>
    <row r="3265" spans="1:22" s="53" customFormat="1" x14ac:dyDescent="0.35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 s="1"/>
      <c r="T3265"/>
      <c r="U3265"/>
      <c r="V3265"/>
    </row>
    <row r="3266" spans="1:22" s="53" customFormat="1" x14ac:dyDescent="0.35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 s="1"/>
      <c r="T3266"/>
      <c r="U3266"/>
      <c r="V3266"/>
    </row>
    <row r="3267" spans="1:22" s="53" customFormat="1" x14ac:dyDescent="0.35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 s="1"/>
      <c r="T3267"/>
      <c r="U3267"/>
      <c r="V3267"/>
    </row>
    <row r="3268" spans="1:22" s="53" customFormat="1" x14ac:dyDescent="0.35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 s="1"/>
      <c r="T3268"/>
      <c r="U3268"/>
      <c r="V3268"/>
    </row>
    <row r="3269" spans="1:22" s="53" customFormat="1" x14ac:dyDescent="0.35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 s="1"/>
      <c r="T3269"/>
      <c r="U3269"/>
      <c r="V3269"/>
    </row>
    <row r="3270" spans="1:22" s="53" customFormat="1" x14ac:dyDescent="0.35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 s="1"/>
      <c r="T3270"/>
      <c r="U3270"/>
      <c r="V3270"/>
    </row>
    <row r="3271" spans="1:22" s="53" customFormat="1" x14ac:dyDescent="0.35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 s="1"/>
      <c r="T3271"/>
      <c r="U3271"/>
      <c r="V3271"/>
    </row>
    <row r="3272" spans="1:22" s="53" customFormat="1" x14ac:dyDescent="0.35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 s="1"/>
      <c r="T3272"/>
      <c r="U3272"/>
      <c r="V3272"/>
    </row>
    <row r="3273" spans="1:22" s="53" customFormat="1" x14ac:dyDescent="0.35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 s="1"/>
      <c r="T3273"/>
      <c r="U3273"/>
      <c r="V3273"/>
    </row>
    <row r="3274" spans="1:22" s="53" customFormat="1" x14ac:dyDescent="0.35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 s="1"/>
      <c r="T3274"/>
      <c r="U3274"/>
      <c r="V3274"/>
    </row>
    <row r="3275" spans="1:22" s="53" customFormat="1" x14ac:dyDescent="0.35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 s="1"/>
      <c r="T3275"/>
      <c r="U3275"/>
      <c r="V3275"/>
    </row>
    <row r="3276" spans="1:22" s="53" customFormat="1" x14ac:dyDescent="0.35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 s="1"/>
      <c r="T3276"/>
      <c r="U3276"/>
      <c r="V3276"/>
    </row>
    <row r="3277" spans="1:22" s="53" customFormat="1" x14ac:dyDescent="0.35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 s="1"/>
      <c r="T3277"/>
      <c r="U3277"/>
      <c r="V3277"/>
    </row>
    <row r="3278" spans="1:22" s="53" customFormat="1" x14ac:dyDescent="0.35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 s="1"/>
      <c r="T3278"/>
      <c r="U3278"/>
      <c r="V3278"/>
    </row>
    <row r="3279" spans="1:22" s="53" customFormat="1" x14ac:dyDescent="0.35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 s="1"/>
      <c r="T3279"/>
      <c r="U3279"/>
      <c r="V3279"/>
    </row>
    <row r="3280" spans="1:22" s="53" customFormat="1" x14ac:dyDescent="0.35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 s="1"/>
      <c r="T3280"/>
      <c r="U3280"/>
      <c r="V3280"/>
    </row>
    <row r="3281" spans="1:22" s="53" customFormat="1" x14ac:dyDescent="0.35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 s="1"/>
      <c r="T3281"/>
      <c r="U3281"/>
      <c r="V3281"/>
    </row>
    <row r="3282" spans="1:22" s="53" customFormat="1" x14ac:dyDescent="0.35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 s="1"/>
      <c r="T3282"/>
      <c r="U3282"/>
      <c r="V3282"/>
    </row>
    <row r="3283" spans="1:22" s="53" customFormat="1" x14ac:dyDescent="0.35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 s="1"/>
      <c r="T3283"/>
      <c r="U3283"/>
      <c r="V3283"/>
    </row>
    <row r="3284" spans="1:22" s="53" customFormat="1" x14ac:dyDescent="0.35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 s="1"/>
      <c r="T3284"/>
      <c r="U3284"/>
      <c r="V3284"/>
    </row>
    <row r="3285" spans="1:22" s="53" customFormat="1" x14ac:dyDescent="0.35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 s="1"/>
      <c r="T3285"/>
      <c r="U3285"/>
      <c r="V3285"/>
    </row>
    <row r="3286" spans="1:22" s="53" customFormat="1" x14ac:dyDescent="0.35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 s="1"/>
      <c r="T3286"/>
      <c r="U3286"/>
      <c r="V3286"/>
    </row>
    <row r="3287" spans="1:22" s="53" customFormat="1" x14ac:dyDescent="0.35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 s="1"/>
      <c r="T3287"/>
      <c r="U3287"/>
      <c r="V3287"/>
    </row>
    <row r="3288" spans="1:22" s="53" customFormat="1" x14ac:dyDescent="0.35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 s="1"/>
      <c r="T3288"/>
      <c r="U3288"/>
      <c r="V3288"/>
    </row>
    <row r="3289" spans="1:22" s="53" customFormat="1" x14ac:dyDescent="0.35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 s="1"/>
      <c r="T3289"/>
      <c r="U3289"/>
      <c r="V3289"/>
    </row>
    <row r="3290" spans="1:22" s="53" customFormat="1" x14ac:dyDescent="0.35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 s="1"/>
      <c r="T3290"/>
      <c r="U3290"/>
      <c r="V3290"/>
    </row>
    <row r="3291" spans="1:22" s="53" customFormat="1" x14ac:dyDescent="0.35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 s="1"/>
      <c r="T3291"/>
      <c r="U3291"/>
      <c r="V3291"/>
    </row>
    <row r="3292" spans="1:22" s="53" customFormat="1" x14ac:dyDescent="0.35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 s="1"/>
      <c r="T3292"/>
      <c r="U3292"/>
      <c r="V3292"/>
    </row>
    <row r="3293" spans="1:22" s="53" customFormat="1" x14ac:dyDescent="0.35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 s="1"/>
      <c r="T3293"/>
      <c r="U3293"/>
      <c r="V3293"/>
    </row>
    <row r="3294" spans="1:22" s="53" customFormat="1" x14ac:dyDescent="0.35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 s="1"/>
      <c r="T3294"/>
      <c r="U3294"/>
      <c r="V3294"/>
    </row>
    <row r="3295" spans="1:22" s="53" customFormat="1" x14ac:dyDescent="0.35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 s="1"/>
      <c r="T3295"/>
      <c r="U3295"/>
      <c r="V3295"/>
    </row>
    <row r="3296" spans="1:22" s="53" customFormat="1" x14ac:dyDescent="0.35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 s="1"/>
      <c r="T3296"/>
      <c r="U3296"/>
      <c r="V3296"/>
    </row>
    <row r="3297" spans="1:22" s="53" customFormat="1" x14ac:dyDescent="0.35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 s="1"/>
      <c r="T3297"/>
      <c r="U3297"/>
      <c r="V3297"/>
    </row>
    <row r="3298" spans="1:22" s="53" customFormat="1" x14ac:dyDescent="0.35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 s="1"/>
      <c r="T3298"/>
      <c r="U3298"/>
      <c r="V3298"/>
    </row>
    <row r="3299" spans="1:22" s="53" customFormat="1" x14ac:dyDescent="0.35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 s="1"/>
      <c r="T3299"/>
      <c r="U3299"/>
      <c r="V3299"/>
    </row>
    <row r="3300" spans="1:22" s="53" customFormat="1" x14ac:dyDescent="0.35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 s="1"/>
      <c r="T3300"/>
      <c r="U3300"/>
      <c r="V3300"/>
    </row>
    <row r="3301" spans="1:22" s="53" customFormat="1" x14ac:dyDescent="0.35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 s="1"/>
      <c r="T3301"/>
      <c r="U3301"/>
      <c r="V3301"/>
    </row>
    <row r="3302" spans="1:22" s="53" customFormat="1" x14ac:dyDescent="0.35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 s="1"/>
      <c r="T3302"/>
      <c r="U3302"/>
      <c r="V3302"/>
    </row>
    <row r="3303" spans="1:22" s="53" customFormat="1" x14ac:dyDescent="0.35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 s="1"/>
      <c r="T3303"/>
      <c r="U3303"/>
      <c r="V3303"/>
    </row>
    <row r="3304" spans="1:22" s="53" customFormat="1" x14ac:dyDescent="0.35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 s="1"/>
      <c r="T3304"/>
      <c r="U3304"/>
      <c r="V3304"/>
    </row>
    <row r="3305" spans="1:22" s="53" customFormat="1" x14ac:dyDescent="0.35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 s="1"/>
      <c r="T3305"/>
      <c r="U3305"/>
      <c r="V3305"/>
    </row>
    <row r="3306" spans="1:22" s="53" customFormat="1" x14ac:dyDescent="0.35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 s="1"/>
      <c r="T3306"/>
      <c r="U3306"/>
      <c r="V3306"/>
    </row>
    <row r="3307" spans="1:22" s="53" customFormat="1" x14ac:dyDescent="0.35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 s="1"/>
      <c r="T3307"/>
      <c r="U3307"/>
      <c r="V3307"/>
    </row>
    <row r="3308" spans="1:22" s="53" customFormat="1" x14ac:dyDescent="0.35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 s="1"/>
      <c r="T3308"/>
      <c r="U3308"/>
      <c r="V3308"/>
    </row>
    <row r="3309" spans="1:22" s="53" customFormat="1" x14ac:dyDescent="0.35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 s="1"/>
      <c r="T3309"/>
      <c r="U3309"/>
      <c r="V3309"/>
    </row>
    <row r="3310" spans="1:22" s="53" customFormat="1" x14ac:dyDescent="0.35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 s="1"/>
      <c r="T3310"/>
      <c r="U3310"/>
      <c r="V3310"/>
    </row>
    <row r="3311" spans="1:22" s="53" customFormat="1" x14ac:dyDescent="0.35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 s="1"/>
      <c r="T3311"/>
      <c r="U3311"/>
      <c r="V3311"/>
    </row>
    <row r="3312" spans="1:22" s="53" customFormat="1" x14ac:dyDescent="0.35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 s="1"/>
      <c r="T3312"/>
      <c r="U3312"/>
      <c r="V3312"/>
    </row>
    <row r="3313" spans="1:22" s="53" customFormat="1" x14ac:dyDescent="0.35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 s="1"/>
      <c r="T3313"/>
      <c r="U3313"/>
      <c r="V3313"/>
    </row>
    <row r="3314" spans="1:22" s="53" customFormat="1" x14ac:dyDescent="0.35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 s="1"/>
      <c r="T3314"/>
      <c r="U3314"/>
      <c r="V3314"/>
    </row>
    <row r="3315" spans="1:22" s="53" customFormat="1" x14ac:dyDescent="0.35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 s="1"/>
      <c r="T3315"/>
      <c r="U3315"/>
      <c r="V3315"/>
    </row>
    <row r="3316" spans="1:22" s="53" customFormat="1" x14ac:dyDescent="0.35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 s="1"/>
      <c r="T3316"/>
      <c r="U3316"/>
      <c r="V3316"/>
    </row>
    <row r="3317" spans="1:22" s="53" customFormat="1" x14ac:dyDescent="0.35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 s="1"/>
      <c r="T3317"/>
      <c r="U3317"/>
      <c r="V3317"/>
    </row>
    <row r="3318" spans="1:22" s="53" customFormat="1" x14ac:dyDescent="0.35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 s="1"/>
      <c r="T3318"/>
      <c r="U3318"/>
      <c r="V3318"/>
    </row>
    <row r="3319" spans="1:22" s="53" customFormat="1" x14ac:dyDescent="0.35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 s="1"/>
      <c r="T3319"/>
      <c r="U3319"/>
      <c r="V3319"/>
    </row>
    <row r="3320" spans="1:22" s="53" customFormat="1" x14ac:dyDescent="0.35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 s="1"/>
      <c r="T3320"/>
      <c r="U3320"/>
      <c r="V3320"/>
    </row>
    <row r="3321" spans="1:22" s="53" customFormat="1" x14ac:dyDescent="0.35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 s="1"/>
      <c r="T3321"/>
      <c r="U3321"/>
      <c r="V3321"/>
    </row>
    <row r="3322" spans="1:22" s="53" customFormat="1" x14ac:dyDescent="0.35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 s="1"/>
      <c r="T3322"/>
      <c r="U3322"/>
      <c r="V3322"/>
    </row>
    <row r="3323" spans="1:22" s="53" customFormat="1" x14ac:dyDescent="0.35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 s="1"/>
      <c r="T3323"/>
      <c r="U3323"/>
      <c r="V3323"/>
    </row>
    <row r="3324" spans="1:22" s="53" customFormat="1" x14ac:dyDescent="0.35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 s="1"/>
      <c r="T3324"/>
      <c r="U3324"/>
      <c r="V3324"/>
    </row>
    <row r="3325" spans="1:22" s="53" customFormat="1" x14ac:dyDescent="0.35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 s="1"/>
      <c r="T3325"/>
      <c r="U3325"/>
      <c r="V3325"/>
    </row>
    <row r="3326" spans="1:22" s="53" customFormat="1" x14ac:dyDescent="0.35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 s="1"/>
      <c r="T3326"/>
      <c r="U3326"/>
      <c r="V3326"/>
    </row>
    <row r="3327" spans="1:22" s="53" customFormat="1" x14ac:dyDescent="0.35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 s="1"/>
      <c r="T3327"/>
      <c r="U3327"/>
      <c r="V3327"/>
    </row>
    <row r="3328" spans="1:22" s="53" customFormat="1" x14ac:dyDescent="0.35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 s="1"/>
      <c r="T3328"/>
      <c r="U3328"/>
      <c r="V3328"/>
    </row>
    <row r="3329" spans="1:22" s="53" customFormat="1" x14ac:dyDescent="0.35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 s="1"/>
      <c r="T3329"/>
      <c r="U3329"/>
      <c r="V3329"/>
    </row>
    <row r="3330" spans="1:22" s="53" customFormat="1" x14ac:dyDescent="0.35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 s="1"/>
      <c r="T3330"/>
      <c r="U3330"/>
      <c r="V3330"/>
    </row>
    <row r="3331" spans="1:22" s="53" customFormat="1" x14ac:dyDescent="0.35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 s="1"/>
      <c r="T3331"/>
      <c r="U3331"/>
      <c r="V3331"/>
    </row>
    <row r="3332" spans="1:22" s="53" customFormat="1" x14ac:dyDescent="0.35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 s="1"/>
      <c r="T3332"/>
      <c r="U3332"/>
      <c r="V3332"/>
    </row>
    <row r="3333" spans="1:22" s="53" customFormat="1" x14ac:dyDescent="0.35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 s="1"/>
      <c r="T3333"/>
      <c r="U3333"/>
      <c r="V3333"/>
    </row>
    <row r="3334" spans="1:22" s="53" customFormat="1" x14ac:dyDescent="0.35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 s="1"/>
      <c r="T3334"/>
      <c r="U3334"/>
      <c r="V3334"/>
    </row>
    <row r="3335" spans="1:22" s="53" customFormat="1" x14ac:dyDescent="0.35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 s="1"/>
      <c r="T3335"/>
      <c r="U3335"/>
      <c r="V3335"/>
    </row>
    <row r="3336" spans="1:22" s="53" customFormat="1" x14ac:dyDescent="0.35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 s="1"/>
      <c r="T3336"/>
      <c r="U3336"/>
      <c r="V3336"/>
    </row>
    <row r="3337" spans="1:22" s="53" customFormat="1" x14ac:dyDescent="0.35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 s="1"/>
      <c r="T3337"/>
      <c r="U3337"/>
      <c r="V3337"/>
    </row>
    <row r="3338" spans="1:22" s="53" customFormat="1" x14ac:dyDescent="0.35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 s="1"/>
      <c r="T3338"/>
      <c r="U3338"/>
      <c r="V3338"/>
    </row>
    <row r="3339" spans="1:22" s="53" customFormat="1" x14ac:dyDescent="0.35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 s="1"/>
      <c r="T3339"/>
      <c r="U3339"/>
      <c r="V3339"/>
    </row>
    <row r="3340" spans="1:22" s="53" customFormat="1" x14ac:dyDescent="0.35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 s="1"/>
      <c r="T3340"/>
      <c r="U3340"/>
      <c r="V3340"/>
    </row>
    <row r="3341" spans="1:22" s="53" customFormat="1" x14ac:dyDescent="0.35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 s="1"/>
      <c r="T3341"/>
      <c r="U3341"/>
      <c r="V3341"/>
    </row>
    <row r="3342" spans="1:22" s="53" customFormat="1" x14ac:dyDescent="0.35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 s="1"/>
      <c r="T3342"/>
      <c r="U3342"/>
      <c r="V3342"/>
    </row>
    <row r="3343" spans="1:22" s="53" customFormat="1" x14ac:dyDescent="0.35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 s="1"/>
      <c r="T3343"/>
      <c r="U3343"/>
      <c r="V3343"/>
    </row>
    <row r="3344" spans="1:22" s="53" customFormat="1" x14ac:dyDescent="0.35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 s="1"/>
      <c r="T3344"/>
      <c r="U3344"/>
      <c r="V3344"/>
    </row>
    <row r="3345" spans="1:22" s="53" customFormat="1" x14ac:dyDescent="0.35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 s="1"/>
      <c r="T3345"/>
      <c r="U3345"/>
      <c r="V3345"/>
    </row>
    <row r="3346" spans="1:22" s="53" customFormat="1" x14ac:dyDescent="0.35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 s="1"/>
      <c r="T3346"/>
      <c r="U3346"/>
      <c r="V3346"/>
    </row>
    <row r="3347" spans="1:22" s="53" customFormat="1" x14ac:dyDescent="0.35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 s="1"/>
      <c r="T3347"/>
      <c r="U3347"/>
      <c r="V3347"/>
    </row>
    <row r="3348" spans="1:22" s="53" customFormat="1" x14ac:dyDescent="0.35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 s="1"/>
      <c r="T3348"/>
      <c r="U3348"/>
      <c r="V3348"/>
    </row>
    <row r="3349" spans="1:22" s="53" customFormat="1" x14ac:dyDescent="0.35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 s="1"/>
      <c r="T3349"/>
      <c r="U3349"/>
      <c r="V3349"/>
    </row>
    <row r="3350" spans="1:22" s="53" customFormat="1" x14ac:dyDescent="0.35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 s="1"/>
      <c r="T3350"/>
      <c r="U3350"/>
      <c r="V3350"/>
    </row>
    <row r="3351" spans="1:22" s="53" customFormat="1" x14ac:dyDescent="0.35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 s="1"/>
      <c r="T3351"/>
      <c r="U3351"/>
      <c r="V3351"/>
    </row>
    <row r="3352" spans="1:22" s="53" customFormat="1" x14ac:dyDescent="0.35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 s="1"/>
      <c r="T3352"/>
      <c r="U3352"/>
      <c r="V3352"/>
    </row>
    <row r="3353" spans="1:22" s="53" customFormat="1" x14ac:dyDescent="0.35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 s="1"/>
      <c r="T3353"/>
      <c r="U3353"/>
      <c r="V3353"/>
    </row>
    <row r="3354" spans="1:22" s="53" customFormat="1" x14ac:dyDescent="0.35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 s="1"/>
      <c r="T3354"/>
      <c r="U3354"/>
      <c r="V3354"/>
    </row>
    <row r="3355" spans="1:22" s="53" customFormat="1" x14ac:dyDescent="0.35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 s="1"/>
      <c r="T3355"/>
      <c r="U3355"/>
      <c r="V3355"/>
    </row>
    <row r="3356" spans="1:22" s="53" customFormat="1" x14ac:dyDescent="0.35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 s="1"/>
      <c r="T3356"/>
      <c r="U3356"/>
      <c r="V3356"/>
    </row>
    <row r="3357" spans="1:22" s="53" customFormat="1" x14ac:dyDescent="0.35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 s="1"/>
      <c r="T3357"/>
      <c r="U3357"/>
      <c r="V3357"/>
    </row>
    <row r="3358" spans="1:22" s="53" customFormat="1" x14ac:dyDescent="0.35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 s="1"/>
      <c r="T3358"/>
      <c r="U3358"/>
      <c r="V3358"/>
    </row>
    <row r="3359" spans="1:22" s="53" customFormat="1" x14ac:dyDescent="0.35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 s="1"/>
      <c r="T3359"/>
      <c r="U3359"/>
      <c r="V3359"/>
    </row>
    <row r="3360" spans="1:22" s="53" customFormat="1" x14ac:dyDescent="0.35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 s="1"/>
      <c r="T3360"/>
      <c r="U3360"/>
      <c r="V3360"/>
    </row>
    <row r="3361" spans="1:22" s="53" customFormat="1" x14ac:dyDescent="0.35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 s="1"/>
      <c r="T3361"/>
      <c r="U3361"/>
      <c r="V3361"/>
    </row>
    <row r="3362" spans="1:22" s="53" customFormat="1" x14ac:dyDescent="0.35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 s="1"/>
      <c r="T3362"/>
      <c r="U3362"/>
      <c r="V3362"/>
    </row>
    <row r="3363" spans="1:22" s="53" customFormat="1" x14ac:dyDescent="0.35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 s="1"/>
      <c r="T3363"/>
      <c r="U3363"/>
      <c r="V3363"/>
    </row>
    <row r="3364" spans="1:22" s="53" customFormat="1" x14ac:dyDescent="0.35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 s="1"/>
      <c r="T3364"/>
      <c r="U3364"/>
      <c r="V3364"/>
    </row>
    <row r="3365" spans="1:22" s="53" customFormat="1" x14ac:dyDescent="0.35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 s="1"/>
      <c r="T3365"/>
      <c r="U3365"/>
      <c r="V3365"/>
    </row>
    <row r="3366" spans="1:22" s="53" customFormat="1" x14ac:dyDescent="0.35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 s="1"/>
      <c r="T3366"/>
      <c r="U3366"/>
      <c r="V3366"/>
    </row>
    <row r="3367" spans="1:22" s="53" customFormat="1" x14ac:dyDescent="0.35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 s="1"/>
      <c r="T3367"/>
      <c r="U3367"/>
      <c r="V3367"/>
    </row>
    <row r="3368" spans="1:22" s="53" customFormat="1" x14ac:dyDescent="0.35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 s="1"/>
      <c r="T3368"/>
      <c r="U3368"/>
      <c r="V3368"/>
    </row>
    <row r="3369" spans="1:22" s="53" customFormat="1" x14ac:dyDescent="0.35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 s="1"/>
      <c r="T3369"/>
      <c r="U3369"/>
      <c r="V3369"/>
    </row>
    <row r="3370" spans="1:22" s="53" customFormat="1" x14ac:dyDescent="0.35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 s="1"/>
      <c r="T3370"/>
      <c r="U3370"/>
      <c r="V3370"/>
    </row>
    <row r="3371" spans="1:22" s="53" customFormat="1" x14ac:dyDescent="0.35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 s="1"/>
      <c r="T3371"/>
      <c r="U3371"/>
      <c r="V3371"/>
    </row>
    <row r="3372" spans="1:22" s="53" customFormat="1" x14ac:dyDescent="0.35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 s="1"/>
      <c r="T3372"/>
      <c r="U3372"/>
      <c r="V3372"/>
    </row>
    <row r="3373" spans="1:22" s="53" customFormat="1" x14ac:dyDescent="0.35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 s="1"/>
      <c r="T3373"/>
      <c r="U3373"/>
      <c r="V3373"/>
    </row>
    <row r="3374" spans="1:22" s="53" customFormat="1" x14ac:dyDescent="0.35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 s="1"/>
      <c r="T3374"/>
      <c r="U3374"/>
      <c r="V3374"/>
    </row>
    <row r="3375" spans="1:22" s="53" customFormat="1" x14ac:dyDescent="0.35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 s="1"/>
      <c r="T3375"/>
      <c r="U3375"/>
      <c r="V3375"/>
    </row>
    <row r="3376" spans="1:22" s="53" customFormat="1" x14ac:dyDescent="0.35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 s="1"/>
      <c r="T3376"/>
      <c r="U3376"/>
      <c r="V3376"/>
    </row>
    <row r="3377" spans="1:22" s="53" customFormat="1" x14ac:dyDescent="0.35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 s="1"/>
      <c r="T3377"/>
      <c r="U3377"/>
      <c r="V3377"/>
    </row>
    <row r="3378" spans="1:22" s="53" customFormat="1" x14ac:dyDescent="0.35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 s="1"/>
      <c r="T3378"/>
      <c r="U3378"/>
      <c r="V3378"/>
    </row>
    <row r="3379" spans="1:22" s="53" customFormat="1" x14ac:dyDescent="0.35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 s="1"/>
      <c r="T3379"/>
      <c r="U3379"/>
      <c r="V3379"/>
    </row>
    <row r="3380" spans="1:22" s="53" customFormat="1" x14ac:dyDescent="0.35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 s="1"/>
      <c r="T3380"/>
      <c r="U3380"/>
      <c r="V3380"/>
    </row>
    <row r="3381" spans="1:22" s="53" customFormat="1" x14ac:dyDescent="0.35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 s="1"/>
      <c r="T3381"/>
      <c r="U3381"/>
      <c r="V3381"/>
    </row>
    <row r="3382" spans="1:22" s="53" customFormat="1" x14ac:dyDescent="0.35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 s="1"/>
      <c r="T3382"/>
      <c r="U3382"/>
      <c r="V3382"/>
    </row>
    <row r="3383" spans="1:22" s="53" customFormat="1" x14ac:dyDescent="0.35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 s="1"/>
      <c r="T3383"/>
      <c r="U3383"/>
      <c r="V3383"/>
    </row>
    <row r="3384" spans="1:22" s="53" customFormat="1" x14ac:dyDescent="0.35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 s="1"/>
      <c r="T3384"/>
      <c r="U3384"/>
      <c r="V3384"/>
    </row>
    <row r="3385" spans="1:22" s="53" customFormat="1" x14ac:dyDescent="0.35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 s="1"/>
      <c r="T3385"/>
      <c r="U3385"/>
      <c r="V3385"/>
    </row>
    <row r="3386" spans="1:22" s="53" customFormat="1" x14ac:dyDescent="0.35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 s="1"/>
      <c r="T3386"/>
      <c r="U3386"/>
      <c r="V3386"/>
    </row>
    <row r="3387" spans="1:22" s="53" customFormat="1" x14ac:dyDescent="0.35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 s="1"/>
      <c r="T3387"/>
      <c r="U3387"/>
      <c r="V3387"/>
    </row>
    <row r="3388" spans="1:22" s="53" customFormat="1" x14ac:dyDescent="0.35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 s="1"/>
      <c r="T3388"/>
      <c r="U3388"/>
      <c r="V3388"/>
    </row>
    <row r="3389" spans="1:22" s="53" customFormat="1" x14ac:dyDescent="0.35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 s="1"/>
      <c r="T3389"/>
      <c r="U3389"/>
      <c r="V3389"/>
    </row>
    <row r="3390" spans="1:22" s="53" customFormat="1" x14ac:dyDescent="0.35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 s="1"/>
      <c r="T3390"/>
      <c r="U3390"/>
      <c r="V3390"/>
    </row>
    <row r="3391" spans="1:22" s="53" customFormat="1" x14ac:dyDescent="0.35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 s="1"/>
      <c r="T3391"/>
      <c r="U3391"/>
      <c r="V3391"/>
    </row>
    <row r="3392" spans="1:22" s="53" customFormat="1" x14ac:dyDescent="0.35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 s="1"/>
      <c r="T3392"/>
      <c r="U3392"/>
      <c r="V3392"/>
    </row>
    <row r="3393" spans="1:22" s="53" customFormat="1" x14ac:dyDescent="0.35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 s="1"/>
      <c r="T3393"/>
      <c r="U3393"/>
      <c r="V3393"/>
    </row>
    <row r="3394" spans="1:22" s="53" customFormat="1" x14ac:dyDescent="0.35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 s="1"/>
      <c r="T3394"/>
      <c r="U3394"/>
      <c r="V3394"/>
    </row>
    <row r="3395" spans="1:22" s="53" customFormat="1" x14ac:dyDescent="0.35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 s="1"/>
      <c r="T3395"/>
      <c r="U3395"/>
      <c r="V3395"/>
    </row>
    <row r="3396" spans="1:22" s="53" customFormat="1" x14ac:dyDescent="0.35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 s="1"/>
      <c r="T3396"/>
      <c r="U3396"/>
      <c r="V3396"/>
    </row>
    <row r="3397" spans="1:22" s="53" customFormat="1" x14ac:dyDescent="0.35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 s="1"/>
      <c r="T3397"/>
      <c r="U3397"/>
      <c r="V3397"/>
    </row>
    <row r="3398" spans="1:22" s="53" customFormat="1" x14ac:dyDescent="0.35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 s="1"/>
      <c r="T3398"/>
      <c r="U3398"/>
      <c r="V3398"/>
    </row>
    <row r="3399" spans="1:22" s="53" customFormat="1" x14ac:dyDescent="0.35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 s="1"/>
      <c r="T3399"/>
      <c r="U3399"/>
      <c r="V3399"/>
    </row>
    <row r="3400" spans="1:22" s="53" customFormat="1" x14ac:dyDescent="0.35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 s="1"/>
      <c r="T3400"/>
      <c r="U3400"/>
      <c r="V3400"/>
    </row>
    <row r="3401" spans="1:22" s="53" customFormat="1" x14ac:dyDescent="0.35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 s="1"/>
      <c r="T3401"/>
      <c r="U3401"/>
      <c r="V3401"/>
    </row>
    <row r="3402" spans="1:22" s="53" customFormat="1" x14ac:dyDescent="0.35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 s="1"/>
      <c r="T3402"/>
      <c r="U3402"/>
      <c r="V3402"/>
    </row>
    <row r="3403" spans="1:22" s="53" customFormat="1" x14ac:dyDescent="0.35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 s="1"/>
      <c r="T3403"/>
      <c r="U3403"/>
      <c r="V3403"/>
    </row>
    <row r="3404" spans="1:22" s="53" customFormat="1" x14ac:dyDescent="0.35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 s="1"/>
      <c r="T3404"/>
      <c r="U3404"/>
      <c r="V3404"/>
    </row>
    <row r="3405" spans="1:22" s="53" customFormat="1" x14ac:dyDescent="0.35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 s="1"/>
      <c r="T3405"/>
      <c r="U3405"/>
      <c r="V3405"/>
    </row>
    <row r="3406" spans="1:22" s="53" customFormat="1" x14ac:dyDescent="0.35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 s="1"/>
      <c r="T3406"/>
      <c r="U3406"/>
      <c r="V3406"/>
    </row>
    <row r="3407" spans="1:22" s="53" customFormat="1" x14ac:dyDescent="0.35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 s="1"/>
      <c r="T3407"/>
      <c r="U3407"/>
      <c r="V3407"/>
    </row>
    <row r="3408" spans="1:22" s="53" customFormat="1" x14ac:dyDescent="0.35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 s="1"/>
      <c r="T3408"/>
      <c r="U3408"/>
      <c r="V3408"/>
    </row>
    <row r="3409" spans="1:22" s="53" customFormat="1" x14ac:dyDescent="0.35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 s="1"/>
      <c r="T3409"/>
      <c r="U3409"/>
      <c r="V3409"/>
    </row>
    <row r="3410" spans="1:22" s="53" customFormat="1" x14ac:dyDescent="0.35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 s="1"/>
      <c r="T3410"/>
      <c r="U3410"/>
      <c r="V3410"/>
    </row>
    <row r="3411" spans="1:22" s="53" customFormat="1" x14ac:dyDescent="0.35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 s="1"/>
      <c r="T3411"/>
      <c r="U3411"/>
      <c r="V3411"/>
    </row>
    <row r="3412" spans="1:22" s="53" customFormat="1" x14ac:dyDescent="0.35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 s="1"/>
      <c r="T3412"/>
      <c r="U3412"/>
      <c r="V3412"/>
    </row>
    <row r="3413" spans="1:22" s="53" customFormat="1" x14ac:dyDescent="0.35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 s="1"/>
      <c r="T3413"/>
      <c r="U3413"/>
      <c r="V3413"/>
    </row>
    <row r="3414" spans="1:22" s="53" customFormat="1" x14ac:dyDescent="0.35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 s="1"/>
      <c r="T3414"/>
      <c r="U3414"/>
      <c r="V3414"/>
    </row>
    <row r="3415" spans="1:22" s="53" customFormat="1" x14ac:dyDescent="0.35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 s="1"/>
      <c r="T3415"/>
      <c r="U3415"/>
      <c r="V3415"/>
    </row>
    <row r="3416" spans="1:22" s="53" customFormat="1" x14ac:dyDescent="0.35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 s="1"/>
      <c r="T3416"/>
      <c r="U3416"/>
      <c r="V3416"/>
    </row>
    <row r="3417" spans="1:22" s="53" customFormat="1" x14ac:dyDescent="0.35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 s="1"/>
      <c r="T3417"/>
      <c r="U3417"/>
      <c r="V3417"/>
    </row>
    <row r="3418" spans="1:22" s="53" customFormat="1" x14ac:dyDescent="0.35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 s="1"/>
      <c r="T3418"/>
      <c r="U3418"/>
      <c r="V3418"/>
    </row>
    <row r="3419" spans="1:22" s="53" customFormat="1" x14ac:dyDescent="0.35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 s="1"/>
      <c r="T3419"/>
      <c r="U3419"/>
      <c r="V3419"/>
    </row>
    <row r="3420" spans="1:22" s="53" customFormat="1" x14ac:dyDescent="0.35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 s="1"/>
      <c r="T3420"/>
      <c r="U3420"/>
      <c r="V3420"/>
    </row>
    <row r="3421" spans="1:22" s="53" customFormat="1" x14ac:dyDescent="0.35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 s="1"/>
      <c r="T3421"/>
      <c r="U3421"/>
      <c r="V3421"/>
    </row>
    <row r="3422" spans="1:22" s="53" customFormat="1" x14ac:dyDescent="0.35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 s="1"/>
      <c r="T3422"/>
      <c r="U3422"/>
      <c r="V3422"/>
    </row>
    <row r="3423" spans="1:22" s="53" customFormat="1" x14ac:dyDescent="0.35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 s="1"/>
      <c r="T3423"/>
      <c r="U3423"/>
      <c r="V3423"/>
    </row>
    <row r="3424" spans="1:22" s="53" customFormat="1" x14ac:dyDescent="0.35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 s="1"/>
      <c r="T3424"/>
      <c r="U3424"/>
      <c r="V3424"/>
    </row>
    <row r="3425" spans="1:22" s="53" customFormat="1" x14ac:dyDescent="0.35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 s="1"/>
      <c r="T3425"/>
      <c r="U3425"/>
      <c r="V3425"/>
    </row>
    <row r="3426" spans="1:22" s="53" customFormat="1" x14ac:dyDescent="0.35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 s="1"/>
      <c r="T3426"/>
      <c r="U3426"/>
      <c r="V3426"/>
    </row>
    <row r="3427" spans="1:22" s="53" customFormat="1" x14ac:dyDescent="0.35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 s="1"/>
      <c r="T3427"/>
      <c r="U3427"/>
      <c r="V3427"/>
    </row>
    <row r="3428" spans="1:22" s="53" customFormat="1" x14ac:dyDescent="0.35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 s="1"/>
      <c r="T3428"/>
      <c r="U3428"/>
      <c r="V3428"/>
    </row>
    <row r="3429" spans="1:22" s="53" customFormat="1" x14ac:dyDescent="0.35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 s="1"/>
      <c r="T3429"/>
      <c r="U3429"/>
      <c r="V3429"/>
    </row>
    <row r="3430" spans="1:22" s="53" customFormat="1" x14ac:dyDescent="0.35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 s="1"/>
      <c r="T3430"/>
      <c r="U3430"/>
      <c r="V3430"/>
    </row>
    <row r="3431" spans="1:22" s="53" customFormat="1" x14ac:dyDescent="0.35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 s="1"/>
      <c r="T3431"/>
      <c r="U3431"/>
      <c r="V3431"/>
    </row>
    <row r="3432" spans="1:22" s="53" customFormat="1" x14ac:dyDescent="0.35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 s="1"/>
      <c r="T3432"/>
      <c r="U3432"/>
      <c r="V3432"/>
    </row>
    <row r="3433" spans="1:22" s="53" customFormat="1" x14ac:dyDescent="0.35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 s="1"/>
      <c r="T3433"/>
      <c r="U3433"/>
      <c r="V3433"/>
    </row>
    <row r="3434" spans="1:22" s="53" customFormat="1" x14ac:dyDescent="0.35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 s="1"/>
      <c r="T3434"/>
      <c r="U3434"/>
      <c r="V3434"/>
    </row>
    <row r="3435" spans="1:22" s="53" customFormat="1" x14ac:dyDescent="0.35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 s="1"/>
      <c r="T3435"/>
      <c r="U3435"/>
      <c r="V3435"/>
    </row>
    <row r="3436" spans="1:22" s="53" customFormat="1" x14ac:dyDescent="0.35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 s="1"/>
      <c r="T3436"/>
      <c r="U3436"/>
      <c r="V3436"/>
    </row>
    <row r="3437" spans="1:22" s="53" customFormat="1" x14ac:dyDescent="0.35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 s="1"/>
      <c r="T3437"/>
      <c r="U3437"/>
      <c r="V3437"/>
    </row>
    <row r="3438" spans="1:22" s="53" customFormat="1" x14ac:dyDescent="0.35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 s="1"/>
      <c r="T3438"/>
      <c r="U3438"/>
      <c r="V3438"/>
    </row>
    <row r="3439" spans="1:22" s="53" customFormat="1" x14ac:dyDescent="0.35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 s="1"/>
      <c r="T3439"/>
      <c r="U3439"/>
      <c r="V3439"/>
    </row>
    <row r="3440" spans="1:22" s="53" customFormat="1" x14ac:dyDescent="0.35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 s="1"/>
      <c r="T3440"/>
      <c r="U3440"/>
      <c r="V3440"/>
    </row>
    <row r="3441" spans="1:22" s="53" customFormat="1" x14ac:dyDescent="0.35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 s="1"/>
      <c r="T3441"/>
      <c r="U3441"/>
      <c r="V3441"/>
    </row>
    <row r="3442" spans="1:22" s="53" customFormat="1" x14ac:dyDescent="0.35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 s="1"/>
      <c r="T3442"/>
      <c r="U3442"/>
      <c r="V3442"/>
    </row>
    <row r="3443" spans="1:22" s="53" customFormat="1" x14ac:dyDescent="0.35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 s="1"/>
      <c r="T3443"/>
      <c r="U3443"/>
      <c r="V3443"/>
    </row>
    <row r="3444" spans="1:22" s="53" customFormat="1" x14ac:dyDescent="0.35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 s="1"/>
      <c r="T3444"/>
      <c r="U3444"/>
      <c r="V3444"/>
    </row>
    <row r="3445" spans="1:22" s="53" customFormat="1" x14ac:dyDescent="0.35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 s="1"/>
      <c r="T3445"/>
      <c r="U3445"/>
      <c r="V3445"/>
    </row>
    <row r="3446" spans="1:22" s="53" customFormat="1" x14ac:dyDescent="0.35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 s="1"/>
      <c r="T3446"/>
      <c r="U3446"/>
      <c r="V3446"/>
    </row>
    <row r="3447" spans="1:22" s="53" customFormat="1" x14ac:dyDescent="0.35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 s="1"/>
      <c r="T3447"/>
      <c r="U3447"/>
      <c r="V3447"/>
    </row>
    <row r="3448" spans="1:22" s="53" customFormat="1" x14ac:dyDescent="0.35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 s="1"/>
      <c r="T3448"/>
      <c r="U3448"/>
      <c r="V3448"/>
    </row>
    <row r="3449" spans="1:22" s="53" customFormat="1" x14ac:dyDescent="0.35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 s="1"/>
      <c r="T3449"/>
      <c r="U3449"/>
      <c r="V3449"/>
    </row>
    <row r="3450" spans="1:22" s="53" customFormat="1" x14ac:dyDescent="0.35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 s="1"/>
      <c r="T3450"/>
      <c r="U3450"/>
      <c r="V3450"/>
    </row>
    <row r="3451" spans="1:22" s="53" customFormat="1" x14ac:dyDescent="0.35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 s="1"/>
      <c r="T3451"/>
      <c r="U3451"/>
      <c r="V3451"/>
    </row>
    <row r="3452" spans="1:22" s="53" customFormat="1" x14ac:dyDescent="0.35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 s="1"/>
      <c r="T3452"/>
      <c r="U3452"/>
      <c r="V3452"/>
    </row>
    <row r="3453" spans="1:22" s="53" customFormat="1" x14ac:dyDescent="0.35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 s="1"/>
      <c r="T3453"/>
      <c r="U3453"/>
      <c r="V3453"/>
    </row>
    <row r="3454" spans="1:22" s="53" customFormat="1" x14ac:dyDescent="0.35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 s="1"/>
      <c r="T3454"/>
      <c r="U3454"/>
      <c r="V3454"/>
    </row>
    <row r="3455" spans="1:22" s="53" customFormat="1" x14ac:dyDescent="0.35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 s="1"/>
      <c r="T3455"/>
      <c r="U3455"/>
      <c r="V3455"/>
    </row>
    <row r="3456" spans="1:22" s="53" customFormat="1" x14ac:dyDescent="0.35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 s="1"/>
      <c r="T3456"/>
      <c r="U3456"/>
      <c r="V3456"/>
    </row>
    <row r="3457" spans="1:22" s="53" customFormat="1" x14ac:dyDescent="0.35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 s="1"/>
      <c r="T3457"/>
      <c r="U3457"/>
      <c r="V3457"/>
    </row>
    <row r="3458" spans="1:22" s="53" customFormat="1" x14ac:dyDescent="0.35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 s="1"/>
      <c r="T3458"/>
      <c r="U3458"/>
      <c r="V3458"/>
    </row>
    <row r="3459" spans="1:22" s="53" customFormat="1" x14ac:dyDescent="0.35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 s="1"/>
      <c r="T3459"/>
      <c r="U3459"/>
      <c r="V3459"/>
    </row>
    <row r="3460" spans="1:22" s="53" customFormat="1" x14ac:dyDescent="0.35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 s="1"/>
      <c r="T3460"/>
      <c r="U3460"/>
      <c r="V3460"/>
    </row>
    <row r="3461" spans="1:22" s="53" customFormat="1" x14ac:dyDescent="0.35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 s="1"/>
      <c r="T3461"/>
      <c r="U3461"/>
      <c r="V3461"/>
    </row>
    <row r="3462" spans="1:22" s="53" customFormat="1" x14ac:dyDescent="0.35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 s="1"/>
      <c r="T3462"/>
      <c r="U3462"/>
      <c r="V3462"/>
    </row>
    <row r="3463" spans="1:22" s="53" customFormat="1" x14ac:dyDescent="0.35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 s="1"/>
      <c r="T3463"/>
      <c r="U3463"/>
      <c r="V3463"/>
    </row>
    <row r="3464" spans="1:22" s="53" customFormat="1" x14ac:dyDescent="0.35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 s="1"/>
      <c r="T3464"/>
      <c r="U3464"/>
      <c r="V3464"/>
    </row>
    <row r="3465" spans="1:22" s="53" customFormat="1" x14ac:dyDescent="0.35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 s="1"/>
      <c r="T3465"/>
      <c r="U3465"/>
      <c r="V3465"/>
    </row>
    <row r="3466" spans="1:22" s="53" customFormat="1" x14ac:dyDescent="0.35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 s="1"/>
      <c r="T3466"/>
      <c r="U3466"/>
      <c r="V3466"/>
    </row>
    <row r="3467" spans="1:22" s="53" customFormat="1" x14ac:dyDescent="0.35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 s="1"/>
      <c r="T3467"/>
      <c r="U3467"/>
      <c r="V3467"/>
    </row>
    <row r="3468" spans="1:22" s="53" customFormat="1" x14ac:dyDescent="0.35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 s="1"/>
      <c r="T3468"/>
      <c r="U3468"/>
      <c r="V3468"/>
    </row>
    <row r="3469" spans="1:22" s="53" customFormat="1" x14ac:dyDescent="0.35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 s="1"/>
      <c r="T3469"/>
      <c r="U3469"/>
      <c r="V3469"/>
    </row>
    <row r="3470" spans="1:22" s="53" customFormat="1" x14ac:dyDescent="0.35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 s="1"/>
      <c r="T3470"/>
      <c r="U3470"/>
      <c r="V3470"/>
    </row>
    <row r="3471" spans="1:22" s="53" customFormat="1" x14ac:dyDescent="0.35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 s="1"/>
      <c r="T3471"/>
      <c r="U3471"/>
      <c r="V3471"/>
    </row>
    <row r="3472" spans="1:22" s="53" customFormat="1" x14ac:dyDescent="0.35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 s="1"/>
      <c r="T3472"/>
      <c r="U3472"/>
      <c r="V3472"/>
    </row>
    <row r="3473" spans="1:22" s="53" customFormat="1" x14ac:dyDescent="0.35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 s="1"/>
      <c r="T3473"/>
      <c r="U3473"/>
      <c r="V3473"/>
    </row>
    <row r="3474" spans="1:22" s="53" customFormat="1" x14ac:dyDescent="0.35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 s="1"/>
      <c r="T3474"/>
      <c r="U3474"/>
      <c r="V3474"/>
    </row>
    <row r="3475" spans="1:22" s="53" customFormat="1" x14ac:dyDescent="0.35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 s="1"/>
      <c r="T3475"/>
      <c r="U3475"/>
      <c r="V3475"/>
    </row>
    <row r="3476" spans="1:22" s="53" customFormat="1" x14ac:dyDescent="0.35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 s="1"/>
      <c r="T3476"/>
      <c r="U3476"/>
      <c r="V3476"/>
    </row>
    <row r="3477" spans="1:22" s="53" customFormat="1" x14ac:dyDescent="0.35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 s="1"/>
      <c r="T3477"/>
      <c r="U3477"/>
      <c r="V3477"/>
    </row>
    <row r="3478" spans="1:22" s="53" customFormat="1" x14ac:dyDescent="0.35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 s="1"/>
      <c r="T3478"/>
      <c r="U3478"/>
      <c r="V3478"/>
    </row>
    <row r="3479" spans="1:22" s="53" customFormat="1" x14ac:dyDescent="0.35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 s="1"/>
      <c r="T3479"/>
      <c r="U3479"/>
      <c r="V3479"/>
    </row>
    <row r="3480" spans="1:22" s="53" customFormat="1" x14ac:dyDescent="0.35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 s="1"/>
      <c r="T3480"/>
      <c r="U3480"/>
      <c r="V3480"/>
    </row>
    <row r="3481" spans="1:22" s="53" customFormat="1" x14ac:dyDescent="0.35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 s="1"/>
      <c r="T3481"/>
      <c r="U3481"/>
      <c r="V3481"/>
    </row>
    <row r="3482" spans="1:22" s="53" customFormat="1" x14ac:dyDescent="0.35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 s="1"/>
      <c r="T3482"/>
      <c r="U3482"/>
      <c r="V3482"/>
    </row>
    <row r="3483" spans="1:22" s="53" customFormat="1" x14ac:dyDescent="0.35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 s="1"/>
      <c r="T3483"/>
      <c r="U3483"/>
      <c r="V3483"/>
    </row>
    <row r="3484" spans="1:22" s="53" customFormat="1" x14ac:dyDescent="0.35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 s="1"/>
      <c r="T3484"/>
      <c r="U3484"/>
      <c r="V3484"/>
    </row>
    <row r="3485" spans="1:22" s="53" customFormat="1" x14ac:dyDescent="0.35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 s="1"/>
      <c r="T3485"/>
      <c r="U3485"/>
      <c r="V3485"/>
    </row>
    <row r="3486" spans="1:22" s="53" customFormat="1" x14ac:dyDescent="0.35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 s="1"/>
      <c r="T3486"/>
      <c r="U3486"/>
      <c r="V3486"/>
    </row>
    <row r="3487" spans="1:22" s="53" customFormat="1" x14ac:dyDescent="0.35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 s="1"/>
      <c r="T3487"/>
      <c r="U3487"/>
      <c r="V3487"/>
    </row>
    <row r="3488" spans="1:22" s="53" customFormat="1" x14ac:dyDescent="0.35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 s="1"/>
      <c r="T3488"/>
      <c r="U3488"/>
      <c r="V3488"/>
    </row>
    <row r="3489" spans="1:22" s="53" customFormat="1" x14ac:dyDescent="0.35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 s="1"/>
      <c r="T3489"/>
      <c r="U3489"/>
      <c r="V3489"/>
    </row>
    <row r="3490" spans="1:22" s="53" customFormat="1" x14ac:dyDescent="0.35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 s="1"/>
      <c r="T3490"/>
      <c r="U3490"/>
      <c r="V3490"/>
    </row>
    <row r="3491" spans="1:22" s="53" customFormat="1" x14ac:dyDescent="0.35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 s="1"/>
      <c r="T3491"/>
      <c r="U3491"/>
      <c r="V3491"/>
    </row>
    <row r="3492" spans="1:22" s="53" customFormat="1" x14ac:dyDescent="0.35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 s="1"/>
      <c r="T3492"/>
      <c r="U3492"/>
      <c r="V3492"/>
    </row>
    <row r="3493" spans="1:22" s="53" customFormat="1" x14ac:dyDescent="0.35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 s="1"/>
      <c r="T3493"/>
      <c r="U3493"/>
      <c r="V3493"/>
    </row>
    <row r="3494" spans="1:22" s="53" customFormat="1" x14ac:dyDescent="0.35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 s="1"/>
      <c r="T3494"/>
      <c r="U3494"/>
      <c r="V3494"/>
    </row>
    <row r="3495" spans="1:22" s="53" customFormat="1" x14ac:dyDescent="0.35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 s="1"/>
      <c r="T3495"/>
      <c r="U3495"/>
      <c r="V3495"/>
    </row>
    <row r="3496" spans="1:22" s="53" customFormat="1" x14ac:dyDescent="0.35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 s="1"/>
      <c r="T3496"/>
      <c r="U3496"/>
      <c r="V3496"/>
    </row>
    <row r="3497" spans="1:22" s="53" customFormat="1" x14ac:dyDescent="0.35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 s="1"/>
      <c r="T3497"/>
      <c r="U3497"/>
      <c r="V3497"/>
    </row>
    <row r="3498" spans="1:22" s="53" customFormat="1" x14ac:dyDescent="0.35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 s="1"/>
      <c r="T3498"/>
      <c r="U3498"/>
      <c r="V3498"/>
    </row>
    <row r="3499" spans="1:22" s="53" customFormat="1" x14ac:dyDescent="0.35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 s="1"/>
      <c r="T3499"/>
      <c r="U3499"/>
      <c r="V3499"/>
    </row>
    <row r="3500" spans="1:22" s="53" customFormat="1" x14ac:dyDescent="0.35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 s="1"/>
      <c r="T3500"/>
      <c r="U3500"/>
      <c r="V3500"/>
    </row>
    <row r="3501" spans="1:22" s="53" customFormat="1" x14ac:dyDescent="0.35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 s="1"/>
      <c r="T3501"/>
      <c r="U3501"/>
      <c r="V3501"/>
    </row>
    <row r="3502" spans="1:22" s="53" customFormat="1" x14ac:dyDescent="0.35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 s="1"/>
      <c r="T3502"/>
      <c r="U3502"/>
      <c r="V3502"/>
    </row>
    <row r="3503" spans="1:22" s="53" customFormat="1" x14ac:dyDescent="0.35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 s="1"/>
      <c r="T3503"/>
      <c r="U3503"/>
      <c r="V3503"/>
    </row>
    <row r="3504" spans="1:22" s="53" customFormat="1" x14ac:dyDescent="0.35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 s="1"/>
      <c r="T3504"/>
      <c r="U3504"/>
      <c r="V3504"/>
    </row>
    <row r="3505" spans="1:22" s="53" customFormat="1" x14ac:dyDescent="0.35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 s="1"/>
      <c r="T3505"/>
      <c r="U3505"/>
      <c r="V3505"/>
    </row>
    <row r="3506" spans="1:22" s="53" customFormat="1" x14ac:dyDescent="0.35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 s="1"/>
      <c r="T3506"/>
      <c r="U3506"/>
      <c r="V3506"/>
    </row>
    <row r="3507" spans="1:22" s="53" customFormat="1" x14ac:dyDescent="0.35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 s="1"/>
      <c r="T3507"/>
      <c r="U3507"/>
      <c r="V3507"/>
    </row>
    <row r="3508" spans="1:22" s="53" customFormat="1" x14ac:dyDescent="0.35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 s="1"/>
      <c r="T3508"/>
      <c r="U3508"/>
      <c r="V3508"/>
    </row>
    <row r="3509" spans="1:22" s="53" customFormat="1" x14ac:dyDescent="0.35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 s="1"/>
      <c r="T3509"/>
      <c r="U3509"/>
      <c r="V3509"/>
    </row>
    <row r="3510" spans="1:22" s="53" customFormat="1" x14ac:dyDescent="0.35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 s="1"/>
      <c r="T3510"/>
      <c r="U3510"/>
      <c r="V3510"/>
    </row>
    <row r="3511" spans="1:22" s="53" customFormat="1" x14ac:dyDescent="0.35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 s="1"/>
      <c r="T3511"/>
      <c r="U3511"/>
      <c r="V3511"/>
    </row>
    <row r="3512" spans="1:22" s="53" customFormat="1" x14ac:dyDescent="0.35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 s="1"/>
      <c r="T3512"/>
      <c r="U3512"/>
      <c r="V3512"/>
    </row>
    <row r="3513" spans="1:22" s="53" customFormat="1" x14ac:dyDescent="0.35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 s="1"/>
      <c r="T3513"/>
      <c r="U3513"/>
      <c r="V3513"/>
    </row>
    <row r="3514" spans="1:22" s="53" customFormat="1" x14ac:dyDescent="0.35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 s="1"/>
      <c r="T3514"/>
      <c r="U3514"/>
      <c r="V3514"/>
    </row>
    <row r="3515" spans="1:22" s="53" customFormat="1" x14ac:dyDescent="0.3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 s="1"/>
      <c r="T3515"/>
      <c r="U3515"/>
      <c r="V3515"/>
    </row>
    <row r="3516" spans="1:22" s="53" customFormat="1" x14ac:dyDescent="0.35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 s="1"/>
      <c r="T3516"/>
      <c r="U3516"/>
      <c r="V3516"/>
    </row>
    <row r="3517" spans="1:22" s="53" customFormat="1" x14ac:dyDescent="0.35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 s="1"/>
      <c r="T3517"/>
      <c r="U3517"/>
      <c r="V3517"/>
    </row>
    <row r="3518" spans="1:22" s="53" customFormat="1" x14ac:dyDescent="0.35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 s="1"/>
      <c r="T3518"/>
      <c r="U3518"/>
      <c r="V3518"/>
    </row>
    <row r="3519" spans="1:22" s="53" customFormat="1" x14ac:dyDescent="0.35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 s="1"/>
      <c r="T3519"/>
      <c r="U3519"/>
      <c r="V3519"/>
    </row>
    <row r="3520" spans="1:22" s="53" customFormat="1" x14ac:dyDescent="0.35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 s="1"/>
      <c r="T3520"/>
      <c r="U3520"/>
      <c r="V3520"/>
    </row>
    <row r="3521" spans="1:22" s="53" customFormat="1" x14ac:dyDescent="0.35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 s="1"/>
      <c r="T3521"/>
      <c r="U3521"/>
      <c r="V3521"/>
    </row>
    <row r="3522" spans="1:22" s="53" customFormat="1" x14ac:dyDescent="0.35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 s="1"/>
      <c r="T3522"/>
      <c r="U3522"/>
      <c r="V3522"/>
    </row>
    <row r="3523" spans="1:22" s="53" customFormat="1" x14ac:dyDescent="0.35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 s="1"/>
      <c r="T3523"/>
      <c r="U3523"/>
      <c r="V3523"/>
    </row>
    <row r="3524" spans="1:22" s="53" customFormat="1" x14ac:dyDescent="0.35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 s="1"/>
      <c r="T3524"/>
      <c r="U3524"/>
      <c r="V3524"/>
    </row>
    <row r="3525" spans="1:22" s="53" customFormat="1" x14ac:dyDescent="0.35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 s="1"/>
      <c r="T3525"/>
      <c r="U3525"/>
      <c r="V3525"/>
    </row>
    <row r="3526" spans="1:22" s="53" customFormat="1" x14ac:dyDescent="0.35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 s="1"/>
      <c r="T3526"/>
      <c r="U3526"/>
      <c r="V3526"/>
    </row>
    <row r="3527" spans="1:22" s="53" customFormat="1" x14ac:dyDescent="0.35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 s="1"/>
      <c r="T3527"/>
      <c r="U3527"/>
      <c r="V3527"/>
    </row>
    <row r="3528" spans="1:22" s="53" customFormat="1" x14ac:dyDescent="0.35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 s="1"/>
      <c r="T3528"/>
      <c r="U3528"/>
      <c r="V3528"/>
    </row>
    <row r="3529" spans="1:22" s="53" customFormat="1" x14ac:dyDescent="0.35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 s="1"/>
      <c r="T3529"/>
      <c r="U3529"/>
      <c r="V3529"/>
    </row>
    <row r="3530" spans="1:22" s="53" customFormat="1" x14ac:dyDescent="0.35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 s="1"/>
      <c r="T3530"/>
      <c r="U3530"/>
      <c r="V3530"/>
    </row>
    <row r="3531" spans="1:22" s="53" customFormat="1" x14ac:dyDescent="0.35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 s="1"/>
      <c r="T3531"/>
      <c r="U3531"/>
      <c r="V3531"/>
    </row>
    <row r="3532" spans="1:22" s="53" customFormat="1" x14ac:dyDescent="0.35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 s="1"/>
      <c r="T3532"/>
      <c r="U3532"/>
      <c r="V3532"/>
    </row>
    <row r="3533" spans="1:22" s="53" customFormat="1" x14ac:dyDescent="0.35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 s="1"/>
      <c r="T3533"/>
      <c r="U3533"/>
      <c r="V3533"/>
    </row>
    <row r="3534" spans="1:22" s="53" customFormat="1" x14ac:dyDescent="0.35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 s="1"/>
      <c r="T3534"/>
      <c r="U3534"/>
      <c r="V3534"/>
    </row>
    <row r="3535" spans="1:22" s="53" customFormat="1" x14ac:dyDescent="0.35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 s="1"/>
      <c r="T3535"/>
      <c r="U3535"/>
      <c r="V3535"/>
    </row>
    <row r="3536" spans="1:22" s="53" customFormat="1" x14ac:dyDescent="0.35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 s="1"/>
      <c r="T3536"/>
      <c r="U3536"/>
      <c r="V3536"/>
    </row>
    <row r="3537" spans="1:22" s="53" customFormat="1" x14ac:dyDescent="0.35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 s="1"/>
      <c r="T3537"/>
      <c r="U3537"/>
      <c r="V3537"/>
    </row>
    <row r="3538" spans="1:22" s="53" customFormat="1" x14ac:dyDescent="0.35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 s="1"/>
      <c r="T3538"/>
      <c r="U3538"/>
      <c r="V3538"/>
    </row>
    <row r="3539" spans="1:22" s="53" customFormat="1" x14ac:dyDescent="0.35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 s="1"/>
      <c r="T3539"/>
      <c r="U3539"/>
      <c r="V3539"/>
    </row>
    <row r="3540" spans="1:22" s="53" customFormat="1" x14ac:dyDescent="0.35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 s="1"/>
      <c r="T3540"/>
      <c r="U3540"/>
      <c r="V3540"/>
    </row>
    <row r="3541" spans="1:22" s="53" customFormat="1" x14ac:dyDescent="0.35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 s="1"/>
      <c r="T3541"/>
      <c r="U3541"/>
      <c r="V3541"/>
    </row>
    <row r="3542" spans="1:22" s="53" customFormat="1" x14ac:dyDescent="0.35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 s="1"/>
      <c r="T3542"/>
      <c r="U3542"/>
      <c r="V3542"/>
    </row>
    <row r="3543" spans="1:22" s="53" customFormat="1" x14ac:dyDescent="0.35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 s="1"/>
      <c r="T3543"/>
      <c r="U3543"/>
      <c r="V3543"/>
    </row>
    <row r="3544" spans="1:22" s="53" customFormat="1" x14ac:dyDescent="0.35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 s="1"/>
      <c r="T3544"/>
      <c r="U3544"/>
      <c r="V3544"/>
    </row>
    <row r="3545" spans="1:22" s="53" customFormat="1" x14ac:dyDescent="0.35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 s="1"/>
      <c r="T3545"/>
      <c r="U3545"/>
      <c r="V3545"/>
    </row>
    <row r="3546" spans="1:22" s="53" customFormat="1" x14ac:dyDescent="0.35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 s="1"/>
      <c r="T3546"/>
      <c r="U3546"/>
      <c r="V3546"/>
    </row>
    <row r="3547" spans="1:22" s="53" customFormat="1" x14ac:dyDescent="0.35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 s="1"/>
      <c r="T3547"/>
      <c r="U3547"/>
      <c r="V3547"/>
    </row>
    <row r="3548" spans="1:22" s="53" customFormat="1" x14ac:dyDescent="0.35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 s="1"/>
      <c r="T3548"/>
      <c r="U3548"/>
      <c r="V3548"/>
    </row>
    <row r="3549" spans="1:22" s="53" customFormat="1" x14ac:dyDescent="0.35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 s="1"/>
      <c r="T3549"/>
      <c r="U3549"/>
      <c r="V3549"/>
    </row>
    <row r="3550" spans="1:22" s="53" customFormat="1" x14ac:dyDescent="0.35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 s="1"/>
      <c r="T3550"/>
      <c r="U3550"/>
      <c r="V3550"/>
    </row>
    <row r="3551" spans="1:22" s="53" customFormat="1" x14ac:dyDescent="0.35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 s="1"/>
      <c r="T3551"/>
      <c r="U3551"/>
      <c r="V3551"/>
    </row>
    <row r="3552" spans="1:22" s="53" customFormat="1" x14ac:dyDescent="0.35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 s="1"/>
      <c r="T3552"/>
      <c r="U3552"/>
      <c r="V3552"/>
    </row>
    <row r="3553" spans="1:22" s="53" customFormat="1" x14ac:dyDescent="0.35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 s="1"/>
      <c r="T3553"/>
      <c r="U3553"/>
      <c r="V3553"/>
    </row>
    <row r="3554" spans="1:22" s="53" customFormat="1" x14ac:dyDescent="0.35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 s="1"/>
      <c r="T3554"/>
      <c r="U3554"/>
      <c r="V3554"/>
    </row>
    <row r="3555" spans="1:22" s="53" customFormat="1" x14ac:dyDescent="0.35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 s="1"/>
      <c r="T3555"/>
      <c r="U3555"/>
      <c r="V3555"/>
    </row>
    <row r="3556" spans="1:22" s="53" customFormat="1" x14ac:dyDescent="0.35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 s="1"/>
      <c r="T3556"/>
      <c r="U3556"/>
      <c r="V3556"/>
    </row>
    <row r="3557" spans="1:22" s="53" customFormat="1" x14ac:dyDescent="0.35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 s="1"/>
      <c r="T3557"/>
      <c r="U3557"/>
      <c r="V3557"/>
    </row>
    <row r="3558" spans="1:22" s="53" customFormat="1" x14ac:dyDescent="0.35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 s="1"/>
      <c r="T3558"/>
      <c r="U3558"/>
      <c r="V3558"/>
    </row>
    <row r="3559" spans="1:22" s="53" customFormat="1" x14ac:dyDescent="0.35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 s="1"/>
      <c r="T3559"/>
      <c r="U3559"/>
      <c r="V3559"/>
    </row>
    <row r="3560" spans="1:22" s="53" customFormat="1" x14ac:dyDescent="0.35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 s="1"/>
      <c r="T3560"/>
      <c r="U3560"/>
      <c r="V3560"/>
    </row>
    <row r="3561" spans="1:22" s="53" customFormat="1" x14ac:dyDescent="0.35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 s="1"/>
      <c r="T3561"/>
      <c r="U3561"/>
      <c r="V3561"/>
    </row>
    <row r="3562" spans="1:22" s="53" customFormat="1" x14ac:dyDescent="0.35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 s="1"/>
      <c r="T3562"/>
      <c r="U3562"/>
      <c r="V3562"/>
    </row>
    <row r="3563" spans="1:22" s="53" customFormat="1" x14ac:dyDescent="0.35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 s="1"/>
      <c r="T3563"/>
      <c r="U3563"/>
      <c r="V3563"/>
    </row>
    <row r="3564" spans="1:22" s="53" customFormat="1" x14ac:dyDescent="0.35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 s="1"/>
      <c r="T3564"/>
      <c r="U3564"/>
      <c r="V3564"/>
    </row>
    <row r="3565" spans="1:22" s="53" customFormat="1" x14ac:dyDescent="0.35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 s="1"/>
      <c r="T3565"/>
      <c r="U3565"/>
      <c r="V3565"/>
    </row>
    <row r="3566" spans="1:22" s="53" customFormat="1" x14ac:dyDescent="0.35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 s="1"/>
      <c r="T3566"/>
      <c r="U3566"/>
      <c r="V3566"/>
    </row>
    <row r="3567" spans="1:22" s="53" customFormat="1" x14ac:dyDescent="0.35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 s="1"/>
      <c r="T3567"/>
      <c r="U3567"/>
      <c r="V3567"/>
    </row>
    <row r="3568" spans="1:22" s="53" customFormat="1" x14ac:dyDescent="0.35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 s="1"/>
      <c r="T3568"/>
      <c r="U3568"/>
      <c r="V3568"/>
    </row>
    <row r="3569" spans="1:22" s="53" customFormat="1" x14ac:dyDescent="0.35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 s="1"/>
      <c r="T3569"/>
      <c r="U3569"/>
      <c r="V3569"/>
    </row>
    <row r="3570" spans="1:22" s="53" customFormat="1" x14ac:dyDescent="0.35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 s="1"/>
      <c r="T3570"/>
      <c r="U3570"/>
      <c r="V3570"/>
    </row>
    <row r="3571" spans="1:22" s="53" customFormat="1" x14ac:dyDescent="0.35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 s="1"/>
      <c r="T3571"/>
      <c r="U3571"/>
      <c r="V3571"/>
    </row>
    <row r="3572" spans="1:22" s="53" customFormat="1" x14ac:dyDescent="0.35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 s="1"/>
      <c r="T3572"/>
      <c r="U3572"/>
      <c r="V3572"/>
    </row>
    <row r="3573" spans="1:22" s="53" customFormat="1" x14ac:dyDescent="0.35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 s="1"/>
      <c r="T3573"/>
      <c r="U3573"/>
      <c r="V3573"/>
    </row>
    <row r="3574" spans="1:22" s="53" customFormat="1" x14ac:dyDescent="0.35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 s="1"/>
      <c r="T3574"/>
      <c r="U3574"/>
      <c r="V3574"/>
    </row>
    <row r="3575" spans="1:22" s="53" customFormat="1" x14ac:dyDescent="0.35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 s="1"/>
      <c r="T3575"/>
      <c r="U3575"/>
      <c r="V3575"/>
    </row>
    <row r="3576" spans="1:22" s="53" customFormat="1" x14ac:dyDescent="0.35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 s="1"/>
      <c r="T3576"/>
      <c r="U3576"/>
      <c r="V3576"/>
    </row>
    <row r="3577" spans="1:22" s="53" customFormat="1" x14ac:dyDescent="0.35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 s="1"/>
      <c r="T3577"/>
      <c r="U3577"/>
      <c r="V3577"/>
    </row>
    <row r="3578" spans="1:22" s="53" customFormat="1" x14ac:dyDescent="0.35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 s="1"/>
      <c r="T3578"/>
      <c r="U3578"/>
      <c r="V3578"/>
    </row>
    <row r="3579" spans="1:22" s="53" customFormat="1" x14ac:dyDescent="0.35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 s="1"/>
      <c r="T3579"/>
      <c r="U3579"/>
      <c r="V3579"/>
    </row>
    <row r="3580" spans="1:22" s="53" customFormat="1" x14ac:dyDescent="0.35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 s="1"/>
      <c r="T3580"/>
      <c r="U3580"/>
      <c r="V3580"/>
    </row>
    <row r="3581" spans="1:22" s="53" customFormat="1" x14ac:dyDescent="0.35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 s="1"/>
      <c r="T3581"/>
      <c r="U3581"/>
      <c r="V3581"/>
    </row>
    <row r="3582" spans="1:22" s="53" customFormat="1" x14ac:dyDescent="0.35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 s="1"/>
      <c r="T3582"/>
      <c r="U3582"/>
      <c r="V3582"/>
    </row>
    <row r="3583" spans="1:22" s="53" customFormat="1" x14ac:dyDescent="0.35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 s="1"/>
      <c r="T3583"/>
      <c r="U3583"/>
      <c r="V3583"/>
    </row>
    <row r="3584" spans="1:22" s="53" customFormat="1" x14ac:dyDescent="0.35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 s="1"/>
      <c r="T3584"/>
      <c r="U3584"/>
      <c r="V3584"/>
    </row>
    <row r="3585" spans="1:22" s="53" customFormat="1" x14ac:dyDescent="0.35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 s="1"/>
      <c r="T3585"/>
      <c r="U3585"/>
      <c r="V3585"/>
    </row>
    <row r="3586" spans="1:22" s="53" customFormat="1" x14ac:dyDescent="0.35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 s="1"/>
      <c r="T3586"/>
      <c r="U3586"/>
      <c r="V3586"/>
    </row>
    <row r="3587" spans="1:22" s="53" customFormat="1" x14ac:dyDescent="0.35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 s="1"/>
      <c r="T3587"/>
      <c r="U3587"/>
      <c r="V3587"/>
    </row>
    <row r="3588" spans="1:22" s="53" customFormat="1" x14ac:dyDescent="0.35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 s="1"/>
      <c r="T3588"/>
      <c r="U3588"/>
      <c r="V3588"/>
    </row>
    <row r="3589" spans="1:22" s="53" customFormat="1" x14ac:dyDescent="0.35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 s="1"/>
      <c r="T3589"/>
      <c r="U3589"/>
      <c r="V3589"/>
    </row>
    <row r="3590" spans="1:22" s="53" customFormat="1" x14ac:dyDescent="0.35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 s="1"/>
      <c r="T3590"/>
      <c r="U3590"/>
      <c r="V3590"/>
    </row>
    <row r="3591" spans="1:22" s="53" customFormat="1" x14ac:dyDescent="0.35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 s="1"/>
      <c r="T3591"/>
      <c r="U3591"/>
      <c r="V3591"/>
    </row>
    <row r="3592" spans="1:22" s="53" customFormat="1" x14ac:dyDescent="0.35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 s="1"/>
      <c r="T3592"/>
      <c r="U3592"/>
      <c r="V3592"/>
    </row>
    <row r="3593" spans="1:22" s="53" customFormat="1" x14ac:dyDescent="0.35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 s="1"/>
      <c r="T3593"/>
      <c r="U3593"/>
      <c r="V3593"/>
    </row>
    <row r="3594" spans="1:22" s="53" customFormat="1" x14ac:dyDescent="0.35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 s="1"/>
      <c r="T3594"/>
      <c r="U3594"/>
      <c r="V3594"/>
    </row>
    <row r="3595" spans="1:22" s="53" customFormat="1" x14ac:dyDescent="0.35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 s="1"/>
      <c r="T3595"/>
      <c r="U3595"/>
      <c r="V3595"/>
    </row>
    <row r="3596" spans="1:22" s="53" customFormat="1" x14ac:dyDescent="0.35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 s="1"/>
      <c r="T3596"/>
      <c r="U3596"/>
      <c r="V3596"/>
    </row>
    <row r="3597" spans="1:22" s="53" customFormat="1" x14ac:dyDescent="0.35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 s="1"/>
      <c r="T3597"/>
      <c r="U3597"/>
      <c r="V3597"/>
    </row>
    <row r="3598" spans="1:22" s="53" customFormat="1" x14ac:dyDescent="0.35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 s="1"/>
      <c r="T3598"/>
      <c r="U3598"/>
      <c r="V3598"/>
    </row>
    <row r="3599" spans="1:22" s="53" customFormat="1" x14ac:dyDescent="0.35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 s="1"/>
      <c r="T3599"/>
      <c r="U3599"/>
      <c r="V3599"/>
    </row>
    <row r="3600" spans="1:22" s="53" customFormat="1" x14ac:dyDescent="0.35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 s="1"/>
      <c r="T3600"/>
      <c r="U3600"/>
      <c r="V3600"/>
    </row>
    <row r="3601" spans="1:22" s="53" customFormat="1" x14ac:dyDescent="0.35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 s="1"/>
      <c r="T3601"/>
      <c r="U3601"/>
      <c r="V3601"/>
    </row>
    <row r="3602" spans="1:22" s="53" customFormat="1" x14ac:dyDescent="0.35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 s="1"/>
      <c r="T3602"/>
      <c r="U3602"/>
      <c r="V3602"/>
    </row>
    <row r="3603" spans="1:22" s="53" customFormat="1" x14ac:dyDescent="0.35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 s="1"/>
      <c r="T3603"/>
      <c r="U3603"/>
      <c r="V3603"/>
    </row>
    <row r="3604" spans="1:22" s="53" customFormat="1" x14ac:dyDescent="0.35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 s="1"/>
      <c r="T3604"/>
      <c r="U3604"/>
      <c r="V3604"/>
    </row>
    <row r="3605" spans="1:22" s="53" customFormat="1" x14ac:dyDescent="0.35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 s="1"/>
      <c r="T3605"/>
      <c r="U3605"/>
      <c r="V3605"/>
    </row>
    <row r="3606" spans="1:22" s="53" customFormat="1" x14ac:dyDescent="0.35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 s="1"/>
      <c r="T3606"/>
      <c r="U3606"/>
      <c r="V3606"/>
    </row>
    <row r="3607" spans="1:22" s="53" customFormat="1" x14ac:dyDescent="0.35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 s="1"/>
      <c r="T3607"/>
      <c r="U3607"/>
      <c r="V3607"/>
    </row>
    <row r="3608" spans="1:22" s="53" customFormat="1" x14ac:dyDescent="0.35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 s="1"/>
      <c r="T3608"/>
      <c r="U3608"/>
      <c r="V3608"/>
    </row>
    <row r="3609" spans="1:22" s="53" customFormat="1" x14ac:dyDescent="0.35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 s="1"/>
      <c r="T3609"/>
      <c r="U3609"/>
      <c r="V3609"/>
    </row>
    <row r="3610" spans="1:22" s="53" customFormat="1" x14ac:dyDescent="0.35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 s="1"/>
      <c r="T3610"/>
      <c r="U3610"/>
      <c r="V3610"/>
    </row>
    <row r="3611" spans="1:22" s="53" customFormat="1" x14ac:dyDescent="0.35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 s="1"/>
      <c r="T3611"/>
      <c r="U3611"/>
      <c r="V3611"/>
    </row>
    <row r="3612" spans="1:22" s="53" customFormat="1" x14ac:dyDescent="0.35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 s="1"/>
      <c r="T3612"/>
      <c r="U3612"/>
      <c r="V3612"/>
    </row>
    <row r="3613" spans="1:22" s="53" customFormat="1" x14ac:dyDescent="0.35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 s="1"/>
      <c r="T3613"/>
      <c r="U3613"/>
      <c r="V3613"/>
    </row>
    <row r="3614" spans="1:22" s="53" customFormat="1" x14ac:dyDescent="0.35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 s="1"/>
      <c r="T3614"/>
      <c r="U3614"/>
      <c r="V3614"/>
    </row>
    <row r="3615" spans="1:22" s="53" customFormat="1" x14ac:dyDescent="0.35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 s="1"/>
      <c r="T3615"/>
      <c r="U3615"/>
      <c r="V3615"/>
    </row>
    <row r="3616" spans="1:22" s="53" customFormat="1" x14ac:dyDescent="0.35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 s="1"/>
      <c r="T3616"/>
      <c r="U3616"/>
      <c r="V3616"/>
    </row>
    <row r="3617" spans="1:22" s="53" customFormat="1" x14ac:dyDescent="0.35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 s="1"/>
      <c r="T3617"/>
      <c r="U3617"/>
      <c r="V3617"/>
    </row>
    <row r="3618" spans="1:22" s="53" customFormat="1" x14ac:dyDescent="0.35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 s="1"/>
      <c r="T3618"/>
      <c r="U3618"/>
      <c r="V3618"/>
    </row>
    <row r="3619" spans="1:22" s="53" customFormat="1" x14ac:dyDescent="0.35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 s="1"/>
      <c r="T3619"/>
      <c r="U3619"/>
      <c r="V3619"/>
    </row>
    <row r="3620" spans="1:22" s="53" customFormat="1" x14ac:dyDescent="0.35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 s="1"/>
      <c r="T3620"/>
      <c r="U3620"/>
      <c r="V3620"/>
    </row>
    <row r="3621" spans="1:22" s="53" customFormat="1" x14ac:dyDescent="0.35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 s="1"/>
      <c r="T3621"/>
      <c r="U3621"/>
      <c r="V3621"/>
    </row>
    <row r="3622" spans="1:22" s="53" customFormat="1" x14ac:dyDescent="0.35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 s="1"/>
      <c r="T3622"/>
      <c r="U3622"/>
      <c r="V3622"/>
    </row>
    <row r="3623" spans="1:22" s="53" customFormat="1" x14ac:dyDescent="0.35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 s="1"/>
      <c r="T3623"/>
      <c r="U3623"/>
      <c r="V3623"/>
    </row>
    <row r="3624" spans="1:22" s="53" customFormat="1" x14ac:dyDescent="0.35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 s="1"/>
      <c r="T3624"/>
      <c r="U3624"/>
      <c r="V3624"/>
    </row>
    <row r="3625" spans="1:22" s="53" customFormat="1" x14ac:dyDescent="0.35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 s="1"/>
      <c r="T3625"/>
      <c r="U3625"/>
      <c r="V3625"/>
    </row>
    <row r="3626" spans="1:22" s="53" customFormat="1" x14ac:dyDescent="0.35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 s="1"/>
      <c r="T3626"/>
      <c r="U3626"/>
      <c r="V3626"/>
    </row>
    <row r="3627" spans="1:22" s="53" customFormat="1" x14ac:dyDescent="0.35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 s="1"/>
      <c r="T3627"/>
      <c r="U3627"/>
      <c r="V3627"/>
    </row>
    <row r="3628" spans="1:22" s="53" customFormat="1" x14ac:dyDescent="0.35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 s="1"/>
      <c r="T3628"/>
      <c r="U3628"/>
      <c r="V3628"/>
    </row>
    <row r="3629" spans="1:22" s="53" customFormat="1" x14ac:dyDescent="0.35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 s="1"/>
      <c r="T3629"/>
      <c r="U3629"/>
      <c r="V3629"/>
    </row>
    <row r="3630" spans="1:22" s="53" customFormat="1" x14ac:dyDescent="0.35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 s="1"/>
      <c r="T3630"/>
      <c r="U3630"/>
      <c r="V3630"/>
    </row>
    <row r="3631" spans="1:22" s="53" customFormat="1" x14ac:dyDescent="0.35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 s="1"/>
      <c r="T3631"/>
      <c r="U3631"/>
      <c r="V3631"/>
    </row>
    <row r="3632" spans="1:22" s="53" customFormat="1" x14ac:dyDescent="0.35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 s="1"/>
      <c r="T3632"/>
      <c r="U3632"/>
      <c r="V3632"/>
    </row>
    <row r="3633" spans="1:22" s="53" customFormat="1" x14ac:dyDescent="0.35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 s="1"/>
      <c r="T3633"/>
      <c r="U3633"/>
      <c r="V3633"/>
    </row>
    <row r="3634" spans="1:22" s="53" customFormat="1" x14ac:dyDescent="0.35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 s="1"/>
      <c r="T3634"/>
      <c r="U3634"/>
      <c r="V3634"/>
    </row>
    <row r="3635" spans="1:22" s="53" customFormat="1" x14ac:dyDescent="0.35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 s="1"/>
      <c r="T3635"/>
      <c r="U3635"/>
      <c r="V3635"/>
    </row>
    <row r="3636" spans="1:22" s="53" customFormat="1" x14ac:dyDescent="0.35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 s="1"/>
      <c r="T3636"/>
      <c r="U3636"/>
      <c r="V3636"/>
    </row>
    <row r="3637" spans="1:22" s="53" customFormat="1" x14ac:dyDescent="0.35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 s="1"/>
      <c r="T3637"/>
      <c r="U3637"/>
      <c r="V3637"/>
    </row>
    <row r="3638" spans="1:22" s="53" customFormat="1" x14ac:dyDescent="0.35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 s="1"/>
      <c r="T3638"/>
      <c r="U3638"/>
      <c r="V3638"/>
    </row>
    <row r="3639" spans="1:22" s="53" customFormat="1" x14ac:dyDescent="0.35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 s="1"/>
      <c r="T3639"/>
      <c r="U3639"/>
      <c r="V3639"/>
    </row>
    <row r="3640" spans="1:22" s="53" customFormat="1" x14ac:dyDescent="0.35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 s="1"/>
      <c r="T3640"/>
      <c r="U3640"/>
      <c r="V3640"/>
    </row>
    <row r="3641" spans="1:22" s="53" customFormat="1" x14ac:dyDescent="0.35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 s="1"/>
      <c r="T3641"/>
      <c r="U3641"/>
      <c r="V3641"/>
    </row>
    <row r="3642" spans="1:22" s="53" customFormat="1" x14ac:dyDescent="0.35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 s="1"/>
      <c r="T3642"/>
      <c r="U3642"/>
      <c r="V3642"/>
    </row>
    <row r="3643" spans="1:22" s="53" customFormat="1" x14ac:dyDescent="0.35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 s="1"/>
      <c r="T3643"/>
      <c r="U3643"/>
      <c r="V3643"/>
    </row>
    <row r="3644" spans="1:22" s="53" customFormat="1" x14ac:dyDescent="0.35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 s="1"/>
      <c r="T3644"/>
      <c r="U3644"/>
      <c r="V3644"/>
    </row>
    <row r="3645" spans="1:22" s="53" customFormat="1" x14ac:dyDescent="0.35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 s="1"/>
      <c r="T3645"/>
      <c r="U3645"/>
      <c r="V3645"/>
    </row>
    <row r="3646" spans="1:22" s="53" customFormat="1" x14ac:dyDescent="0.35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 s="1"/>
      <c r="T3646"/>
      <c r="U3646"/>
      <c r="V3646"/>
    </row>
    <row r="3647" spans="1:22" s="53" customFormat="1" x14ac:dyDescent="0.35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 s="1"/>
      <c r="T3647"/>
      <c r="U3647"/>
      <c r="V3647"/>
    </row>
    <row r="3648" spans="1:22" s="53" customFormat="1" x14ac:dyDescent="0.35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 s="1"/>
      <c r="T3648"/>
      <c r="U3648"/>
      <c r="V3648"/>
    </row>
    <row r="3649" spans="1:22" s="53" customFormat="1" x14ac:dyDescent="0.35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 s="1"/>
      <c r="T3649"/>
      <c r="U3649"/>
      <c r="V3649"/>
    </row>
    <row r="3650" spans="1:22" s="53" customFormat="1" x14ac:dyDescent="0.35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 s="1"/>
      <c r="T3650"/>
      <c r="U3650"/>
      <c r="V3650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fria</dc:creator>
  <cp:lastModifiedBy>SISILIA</cp:lastModifiedBy>
  <dcterms:created xsi:type="dcterms:W3CDTF">2011-05-18T14:10:12Z</dcterms:created>
  <dcterms:modified xsi:type="dcterms:W3CDTF">2026-02-26T05:37:45Z</dcterms:modified>
</cp:coreProperties>
</file>